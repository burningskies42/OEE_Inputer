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Fertigung\Machining\OEE\"/>
    </mc:Choice>
  </mc:AlternateContent>
  <bookViews>
    <workbookView xWindow="0" yWindow="0" windowWidth="19440" windowHeight="12450"/>
  </bookViews>
  <sheets>
    <sheet name="OEE" sheetId="1" r:id="rId1"/>
    <sheet name="Ausschuss" sheetId="2" state="hidden" r:id="rId2"/>
    <sheet name="Tabelle2" sheetId="3" state="hidden" r:id="rId3"/>
    <sheet name="Report" sheetId="4" state="hidden" r:id="rId4"/>
  </sheets>
  <functionGroups builtInGroupCount="18"/>
  <definedNames>
    <definedName name="_xlnm._FilterDatabase" localSheetId="0" hidden="1">OEE!$D$56:$R$56</definedName>
    <definedName name="Anlage">OEE!$H$2</definedName>
    <definedName name="Anlage_nr">OEE!$D$2</definedName>
    <definedName name="auftrag_zeit">OEE!$S$75</definedName>
    <definedName name="Ausschuß_Print_Area">Ausschuss!$1:$1048576</definedName>
    <definedName name="avprog">Tabelle2!$C$1:$C$3</definedName>
    <definedName name="b">Tabelle2!$B$1:$B$7</definedName>
    <definedName name="d">Tabelle2!$D$1:$D$4</definedName>
    <definedName name="_xlnm.Print_Area" localSheetId="0">OEE!$A$1:$Z$77</definedName>
    <definedName name="e">Tabelle2!$E$1:$E$3</definedName>
    <definedName name="f">Tabelle2!$F$1:$F$5</definedName>
    <definedName name="g">Tabelle2!$G$1:$G$4</definedName>
    <definedName name="Kategorie">Tabelle2!$A$1:$A$9</definedName>
    <definedName name="leis_fs">OEE!$V$73</definedName>
    <definedName name="leis_ns">OEE!$X$73</definedName>
    <definedName name="leis_ss">OEE!$W$73</definedName>
    <definedName name="Material">Tabelle2!$H$1:$H$4</definedName>
    <definedName name="neueAufträge">OEE!$A$61:$C$74</definedName>
    <definedName name="OEE_Final_Value">OEE!$T$76</definedName>
    <definedName name="qual_fs">OEE!$V$74</definedName>
    <definedName name="qual_ns">OEE!$X$74</definedName>
    <definedName name="qual_ss">OEE!$W$74</definedName>
    <definedName name="Schicht">OEE!$AD$9</definedName>
    <definedName name="shift_cell">OEE!$A$3</definedName>
    <definedName name="sum_ausschuss">OEE!$H$75</definedName>
    <definedName name="sum_gutteile">OEE!$D$75</definedName>
    <definedName name="TMMT">Tabelle2!$J$1:$J$2</definedName>
    <definedName name="verf_fs">OEE!$V$72</definedName>
    <definedName name="verf_ns">OEE!$X$72</definedName>
    <definedName name="verf_ss">OEE!$W$72</definedName>
    <definedName name="Werkzeug">Tabelle2!$I$1:$I$4</definedName>
    <definedName name="Z_22CF91A4_82F1_4E4E_8F02_827A1ABAE13D_.wvu.Cols" localSheetId="0" hidden="1">OEE!$Z:$XFD</definedName>
    <definedName name="Z_22CF91A4_82F1_4E4E_8F02_827A1ABAE13D_.wvu.PrintArea" localSheetId="0" hidden="1">OEE!$A$1:$X$78</definedName>
    <definedName name="Z_22CF91A4_82F1_4E4E_8F02_827A1ABAE13D_.wvu.Rows" localSheetId="0" hidden="1">OEE!$84:$1048576,OEE!$78:$83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1" l="1"/>
  <c r="E57" i="1"/>
  <c r="S61" i="1" l="1"/>
  <c r="G57" i="1" l="1"/>
  <c r="H57" i="1"/>
  <c r="I57" i="1"/>
  <c r="J57" i="1"/>
  <c r="K57" i="1"/>
  <c r="L57" i="1"/>
  <c r="M57" i="1"/>
  <c r="N57" i="1"/>
  <c r="O57" i="1"/>
  <c r="P57" i="1"/>
  <c r="Q57" i="1"/>
  <c r="R57" i="1"/>
  <c r="T76" i="1" l="1"/>
  <c r="M75" i="1"/>
  <c r="H75" i="1"/>
  <c r="D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T62" i="1" l="1"/>
  <c r="S58" i="1"/>
  <c r="S75" i="1"/>
  <c r="T65" i="1" s="1"/>
  <c r="T68" i="1"/>
  <c r="G58" i="1"/>
</calcChain>
</file>

<file path=xl/sharedStrings.xml><?xml version="1.0" encoding="utf-8"?>
<sst xmlns="http://schemas.openxmlformats.org/spreadsheetml/2006/main" count="241" uniqueCount="188">
  <si>
    <t>Produktionsfilm - Overall Equipment Effectiveness (OEE)</t>
  </si>
  <si>
    <t xml:space="preserve">Anlage / KST: </t>
  </si>
  <si>
    <t>5735-4</t>
  </si>
  <si>
    <t>Betriebszeit B</t>
  </si>
  <si>
    <t>Fertigungs-Status</t>
  </si>
  <si>
    <t>Störung</t>
  </si>
  <si>
    <t>FS</t>
  </si>
  <si>
    <t>SS</t>
  </si>
  <si>
    <t>NS</t>
  </si>
  <si>
    <t>Fertigung/Werkzeug 
im Einsatz</t>
  </si>
  <si>
    <t>Mehrmaschinen-
bedienung</t>
  </si>
  <si>
    <t>Geplante 
Stillstände</t>
  </si>
  <si>
    <t>Rüsten</t>
  </si>
  <si>
    <t>Material fehlt</t>
  </si>
  <si>
    <t>Personal fehlt</t>
  </si>
  <si>
    <t>Materialprobleme</t>
  </si>
  <si>
    <t>Qualitätsprobleme</t>
  </si>
  <si>
    <t>Zeichnung unklar</t>
  </si>
  <si>
    <t>WOP</t>
  </si>
  <si>
    <t>Abweichung Planzeit</t>
  </si>
  <si>
    <t>Allg. Qualitätsprobleme</t>
  </si>
  <si>
    <t>Fehlerbeschreibung</t>
  </si>
  <si>
    <t>Maßnahme(n)</t>
  </si>
  <si>
    <t>Anlagen</t>
  </si>
  <si>
    <t>5735-2</t>
  </si>
  <si>
    <t>5735-3</t>
  </si>
  <si>
    <t>5736-2</t>
  </si>
  <si>
    <t>5736-3</t>
  </si>
  <si>
    <t>5736-4</t>
  </si>
  <si>
    <t>6300-1</t>
  </si>
  <si>
    <t>6300-2</t>
  </si>
  <si>
    <t>6350-1</t>
  </si>
  <si>
    <t>6350-2</t>
  </si>
  <si>
    <t>6350-3</t>
  </si>
  <si>
    <t>6350-4</t>
  </si>
  <si>
    <t>6390-1</t>
  </si>
  <si>
    <t>6390-2</t>
  </si>
  <si>
    <t>6410-3</t>
  </si>
  <si>
    <t>6420-1</t>
  </si>
  <si>
    <t>6420-2</t>
  </si>
  <si>
    <t>6430-1</t>
  </si>
  <si>
    <t>6430-2</t>
  </si>
  <si>
    <t>6460-1</t>
  </si>
  <si>
    <t>6460-2</t>
  </si>
  <si>
    <t>6500-1</t>
  </si>
  <si>
    <t>6500-2</t>
  </si>
  <si>
    <t>6500-3</t>
  </si>
  <si>
    <t>6500-4</t>
  </si>
  <si>
    <t>6510-1</t>
  </si>
  <si>
    <t>6510-2</t>
  </si>
  <si>
    <t>6650-1</t>
  </si>
  <si>
    <t>6650-2</t>
  </si>
  <si>
    <t>6720-1</t>
  </si>
  <si>
    <t>6720-2</t>
  </si>
  <si>
    <t>6720-3</t>
  </si>
  <si>
    <t>6720-4</t>
  </si>
  <si>
    <t>7991-1</t>
  </si>
  <si>
    <t>7991-2</t>
  </si>
  <si>
    <t>Maschinen-
stillstandszeiten</t>
  </si>
  <si>
    <t>Gesamt Maschinen-
stillstandszeiten C =</t>
  </si>
  <si>
    <t>Teilenummer</t>
  </si>
  <si>
    <t>Gutteile</t>
  </si>
  <si>
    <t>Ausschuss</t>
  </si>
  <si>
    <t>Stückzeit TE</t>
  </si>
  <si>
    <t>Auftragszeit (Stückzeit TE x (Gutteile+Ausschußteile))</t>
  </si>
  <si>
    <t>Berechnungen</t>
  </si>
  <si>
    <t>Verfügbarkeit D = Laufzeit A / Betriebszeit B</t>
  </si>
  <si>
    <t>Leistung E = Auftragszeit Z / Laufzeit A</t>
  </si>
  <si>
    <t>Qualität F = Gutteile X / (Gutteile X+Ausschuss Y)</t>
  </si>
  <si>
    <t>Schicht F</t>
  </si>
  <si>
    <t>Schicht S</t>
  </si>
  <si>
    <t>Schicht N</t>
  </si>
  <si>
    <t>D</t>
  </si>
  <si>
    <t>=</t>
  </si>
  <si>
    <t>E</t>
  </si>
  <si>
    <t>F</t>
  </si>
  <si>
    <t>Summe</t>
  </si>
  <si>
    <t>OEE [%] = (D x E x F) x 100 =</t>
  </si>
  <si>
    <t>Allgemeiner Fehler</t>
  </si>
  <si>
    <t>Gelbe Felder sind Pflichtfelder</t>
  </si>
  <si>
    <t>Datum:</t>
  </si>
  <si>
    <t/>
  </si>
  <si>
    <t xml:space="preserve"> Personalnr.:</t>
  </si>
  <si>
    <t xml:space="preserve"> Arbeitsplatz:</t>
  </si>
  <si>
    <t>Auftragsnr.:</t>
  </si>
  <si>
    <t xml:space="preserve"> Materialnr.:</t>
  </si>
  <si>
    <t xml:space="preserve"> Ausschussanzahl:</t>
  </si>
  <si>
    <t>von</t>
  </si>
  <si>
    <t>Werkstoff:</t>
  </si>
  <si>
    <t>Bitte Wählen</t>
  </si>
  <si>
    <t>Verursacher</t>
  </si>
  <si>
    <t>Was wurde falsch Programmiert</t>
  </si>
  <si>
    <t>Wurde eine Simulation durchgeführt</t>
  </si>
  <si>
    <t>Wenn Nein, warum nicht</t>
  </si>
  <si>
    <t>Hinweis auf den Spannvorgang im Prog. vorhanden?</t>
  </si>
  <si>
    <t>Wie wurde das Werkstück gespannt</t>
  </si>
  <si>
    <t>Wurde das Werkstück richtig gespannt?</t>
  </si>
  <si>
    <t>Handelt es sich um eine Passung</t>
  </si>
  <si>
    <t>Um welche Position handelt es sich?</t>
  </si>
  <si>
    <t>Ist die Passung zu groß/klein</t>
  </si>
  <si>
    <t>War ein Stoppsatz vor der Passung?</t>
  </si>
  <si>
    <t>Wurde das Werkzeug maß im Werkzeugspeicher verändert?</t>
  </si>
  <si>
    <t>Welche Maßangabe ist betroffen</t>
  </si>
  <si>
    <t>Ist das Maß zu klein?</t>
  </si>
  <si>
    <t>War die Programmierung korrekt?</t>
  </si>
  <si>
    <t>Ursache Werkzeugproblem</t>
  </si>
  <si>
    <t>Welches Werkzeug wurde verwendet?</t>
  </si>
  <si>
    <t>Welchen Durchmesser?</t>
  </si>
  <si>
    <t>Welche Auspannlänge?</t>
  </si>
  <si>
    <t>Drehzahl:</t>
  </si>
  <si>
    <t>Vorschub:</t>
  </si>
  <si>
    <t>Zustellung:</t>
  </si>
  <si>
    <t>Welche Position wurde falsch eingetippt?</t>
  </si>
  <si>
    <t>Ist-Wert</t>
  </si>
  <si>
    <t>Soll-Wert</t>
  </si>
  <si>
    <t>Ursache Materialproblem</t>
  </si>
  <si>
    <t>Genaue Angabe der Grundes:</t>
  </si>
  <si>
    <t>Wie kann in Zukunft verhindert werden, dass dieser Fehler wieder Auftritt? Bitte genaue Abstellmaßnahmen definieren, die nach absprache umgesetzt werden müssen!</t>
  </si>
  <si>
    <t>Mitarbeiter:</t>
  </si>
  <si>
    <t>Ist die Abstellmaßnahme bereits umgesetzt?</t>
  </si>
  <si>
    <t>Tritt der Fehler auch in Zukunft auf?</t>
  </si>
  <si>
    <t>Qualitätsgespräch (TMM):</t>
  </si>
  <si>
    <r>
      <t xml:space="preserve">Ja  </t>
    </r>
    <r>
      <rPr>
        <sz val="11"/>
        <color theme="1"/>
        <rFont val="Wingdings"/>
        <charset val="2"/>
      </rPr>
      <t>o</t>
    </r>
    <r>
      <rPr>
        <sz val="10"/>
        <color theme="1"/>
        <rFont val="Arial"/>
        <family val="2"/>
      </rPr>
      <t xml:space="preserve">              Nein  </t>
    </r>
    <r>
      <rPr>
        <sz val="11"/>
        <color theme="1"/>
        <rFont val="Wingdings"/>
        <charset val="2"/>
      </rPr>
      <t>o</t>
    </r>
  </si>
  <si>
    <r>
      <t xml:space="preserve">Ja  </t>
    </r>
    <r>
      <rPr>
        <sz val="11"/>
        <color theme="1"/>
        <rFont val="Wingdings"/>
        <charset val="2"/>
      </rPr>
      <t>o</t>
    </r>
    <r>
      <rPr>
        <sz val="10"/>
        <color theme="1"/>
        <rFont val="Arial"/>
        <family val="2"/>
      </rPr>
      <t xml:space="preserve">              Nein  </t>
    </r>
    <r>
      <rPr>
        <sz val="11"/>
        <color theme="1"/>
        <rFont val="Wingdings"/>
        <charset val="2"/>
      </rPr>
      <t>o</t>
    </r>
    <r>
      <rPr>
        <sz val="10"/>
        <color theme="1"/>
        <rFont val="Arial"/>
        <family val="2"/>
      </rPr>
      <t xml:space="preserve">             Beobachten  </t>
    </r>
    <r>
      <rPr>
        <sz val="11"/>
        <color theme="1"/>
        <rFont val="Wingdings"/>
        <charset val="2"/>
      </rPr>
      <t>o</t>
    </r>
  </si>
  <si>
    <t>Unterschrift TMM:</t>
  </si>
  <si>
    <t>Unterschrift MA:</t>
  </si>
  <si>
    <t>Wählen Sie ein Element aus</t>
  </si>
  <si>
    <t>Bitte wählen</t>
  </si>
  <si>
    <t>Werker</t>
  </si>
  <si>
    <t>Alu</t>
  </si>
  <si>
    <t>Werkzeug</t>
  </si>
  <si>
    <t>Ja</t>
  </si>
  <si>
    <t>Schraubstock</t>
  </si>
  <si>
    <t>Falsches Material bereitgestellt</t>
  </si>
  <si>
    <t>Werkzeugbruch</t>
  </si>
  <si>
    <t>TMMT</t>
  </si>
  <si>
    <t>Konstruktion</t>
  </si>
  <si>
    <t>AZ5ZU</t>
  </si>
  <si>
    <t>AVPROG</t>
  </si>
  <si>
    <t>Schnittwerte</t>
  </si>
  <si>
    <t>Nein</t>
  </si>
  <si>
    <t>Vakuumplatte</t>
  </si>
  <si>
    <t>Fehlerhaftes Material</t>
  </si>
  <si>
    <t>Werkzeug falsch eingestellt durch</t>
  </si>
  <si>
    <t>Maßfehler</t>
  </si>
  <si>
    <t>Stahl</t>
  </si>
  <si>
    <t>Position</t>
  </si>
  <si>
    <t>Tisch</t>
  </si>
  <si>
    <t>Beobachten</t>
  </si>
  <si>
    <t>Beschädigtes Material</t>
  </si>
  <si>
    <t>Sonstiges</t>
  </si>
  <si>
    <t>Material</t>
  </si>
  <si>
    <t>Kunststoff</t>
  </si>
  <si>
    <t>Vorrichtung</t>
  </si>
  <si>
    <t>Programmierfehler</t>
  </si>
  <si>
    <t>V2A</t>
  </si>
  <si>
    <t>Spannfehler</t>
  </si>
  <si>
    <t>Toleranzfehler</t>
  </si>
  <si>
    <t>ID</t>
  </si>
  <si>
    <t>Anlage</t>
  </si>
  <si>
    <t>Datum</t>
  </si>
  <si>
    <t>Schicht</t>
  </si>
  <si>
    <t>OEE</t>
  </si>
  <si>
    <t>Eintrag_Zeit</t>
  </si>
  <si>
    <t>Benutzer_Name</t>
  </si>
  <si>
    <t>Mehrmaschinenbedienung</t>
  </si>
  <si>
    <t>Geplante_Stillstaende</t>
  </si>
  <si>
    <t>Ruesten</t>
  </si>
  <si>
    <t>Material_fehlt</t>
  </si>
  <si>
    <t>Personal_fehlt</t>
  </si>
  <si>
    <t>Maschinenstoerung</t>
  </si>
  <si>
    <t>Werkzeugstoerung</t>
  </si>
  <si>
    <t>Qualitaetsprobleme</t>
  </si>
  <si>
    <t>Zeichnung_unklar</t>
  </si>
  <si>
    <t>Avprog_fehlt_ueberarbeiten</t>
  </si>
  <si>
    <t>Abweichung_Planzeit</t>
  </si>
  <si>
    <t>Allg_Qualitaetsprobleme</t>
  </si>
  <si>
    <t>Ausschußteile</t>
  </si>
  <si>
    <t>Laufzeit</t>
  </si>
  <si>
    <t>Auftragszeit</t>
  </si>
  <si>
    <t>edelmann_l</t>
  </si>
  <si>
    <t>5720</t>
  </si>
  <si>
    <t>Schlossertätigkeiten</t>
  </si>
  <si>
    <t>Störung
(Werkz./Maschine)</t>
  </si>
  <si>
    <t>Avprog fehlt
/überarbeiten</t>
  </si>
  <si>
    <t>Früh</t>
  </si>
  <si>
    <t>28.11.2016</t>
  </si>
  <si>
    <t>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</si>
</sst>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0.0%"/>
  </numFmts>
  <fonts count="2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sz val="16"/>
      <color theme="1"/>
      <name val="Arial"/>
      <family val="2"/>
    </font>
    <font>
      <sz val="9"/>
      <color theme="1"/>
      <name val="Arial"/>
      <family val="2"/>
    </font>
    <font>
      <sz val="18"/>
      <color theme="1"/>
      <name val="Arial"/>
      <family val="2"/>
    </font>
    <font>
      <sz val="10"/>
      <color rgb="FF00B0F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6"/>
      <color rgb="FFFF0000"/>
      <name val="Arial"/>
      <family val="2"/>
    </font>
    <font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9" fillId="0" borderId="0"/>
  </cellStyleXfs>
  <cellXfs count="210">
    <xf numFmtId="0" fontId="0" fillId="0" borderId="0" xfId="0"/>
    <xf numFmtId="0" fontId="0" fillId="0" borderId="0" xfId="0" applyBorder="1" applyProtection="1"/>
    <xf numFmtId="0" fontId="0" fillId="0" borderId="2" xfId="0" applyBorder="1" applyProtection="1"/>
    <xf numFmtId="0" fontId="3" fillId="0" borderId="3" xfId="0" applyNumberFormat="1" applyFont="1" applyBorder="1" applyAlignment="1" applyProtection="1">
      <alignment horizontal="center" vertical="center"/>
    </xf>
    <xf numFmtId="0" fontId="3" fillId="0" borderId="4" xfId="0" applyNumberFormat="1" applyFont="1" applyBorder="1" applyAlignment="1" applyProtection="1">
      <alignment vertical="center"/>
    </xf>
    <xf numFmtId="0" fontId="3" fillId="0" borderId="5" xfId="0" applyNumberFormat="1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3" fillId="0" borderId="3" xfId="0" applyFont="1" applyBorder="1" applyAlignment="1" applyProtection="1">
      <alignment horizontal="left"/>
    </xf>
    <xf numFmtId="0" fontId="3" fillId="0" borderId="4" xfId="0" applyFont="1" applyBorder="1" applyAlignment="1" applyProtection="1">
      <alignment horizontal="left"/>
    </xf>
    <xf numFmtId="14" fontId="4" fillId="0" borderId="4" xfId="0" applyNumberFormat="1" applyFont="1" applyBorder="1" applyAlignment="1" applyProtection="1"/>
    <xf numFmtId="0" fontId="4" fillId="0" borderId="4" xfId="0" applyFont="1" applyBorder="1" applyAlignment="1" applyProtection="1"/>
    <xf numFmtId="0" fontId="0" fillId="2" borderId="3" xfId="0" applyFill="1" applyBorder="1" applyProtection="1"/>
    <xf numFmtId="0" fontId="0" fillId="2" borderId="4" xfId="0" applyFill="1" applyBorder="1" applyProtection="1"/>
    <xf numFmtId="0" fontId="0" fillId="0" borderId="1" xfId="0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 wrapText="1"/>
    </xf>
    <xf numFmtId="0" fontId="3" fillId="0" borderId="1" xfId="0" applyFont="1" applyFill="1" applyBorder="1" applyAlignment="1" applyProtection="1">
      <alignment vertical="center"/>
    </xf>
    <xf numFmtId="0" fontId="7" fillId="0" borderId="3" xfId="0" applyFont="1" applyBorder="1" applyAlignment="1" applyProtection="1">
      <alignment horizontal="center" vertical="center" wrapText="1"/>
    </xf>
    <xf numFmtId="20" fontId="0" fillId="2" borderId="1" xfId="0" applyNumberFormat="1" applyFill="1" applyBorder="1" applyAlignment="1" applyProtection="1">
      <alignment horizontal="center" vertical="center"/>
    </xf>
    <xf numFmtId="20" fontId="0" fillId="2" borderId="3" xfId="0" applyNumberFormat="1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8" fillId="2" borderId="8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left" vertical="center" wrapText="1"/>
    </xf>
    <xf numFmtId="20" fontId="0" fillId="0" borderId="1" xfId="0" applyNumberFormat="1" applyBorder="1" applyAlignment="1" applyProtection="1">
      <alignment horizontal="center" vertical="center"/>
    </xf>
    <xf numFmtId="20" fontId="0" fillId="0" borderId="3" xfId="0" applyNumberForma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center" vertical="center"/>
    </xf>
    <xf numFmtId="0" fontId="12" fillId="0" borderId="15" xfId="0" applyFont="1" applyBorder="1" applyAlignment="1" applyProtection="1">
      <alignment horizontal="center" vertical="center" wrapText="1"/>
    </xf>
    <xf numFmtId="0" fontId="13" fillId="0" borderId="3" xfId="0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 vertical="center"/>
    </xf>
    <xf numFmtId="0" fontId="0" fillId="2" borderId="16" xfId="0" applyFill="1" applyBorder="1" applyProtection="1"/>
    <xf numFmtId="0" fontId="0" fillId="2" borderId="17" xfId="0" applyFill="1" applyBorder="1" applyProtection="1"/>
    <xf numFmtId="0" fontId="14" fillId="0" borderId="3" xfId="0" applyFont="1" applyBorder="1" applyAlignment="1" applyProtection="1">
      <alignment horizontal="center"/>
    </xf>
    <xf numFmtId="0" fontId="14" fillId="0" borderId="3" xfId="0" applyNumberFormat="1" applyFont="1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49" fontId="16" fillId="0" borderId="0" xfId="0" applyNumberFormat="1" applyFont="1" applyBorder="1" applyAlignment="1" applyProtection="1">
      <alignment horizontal="center" vertical="center"/>
    </xf>
    <xf numFmtId="0" fontId="16" fillId="0" borderId="16" xfId="0" applyFont="1" applyBorder="1" applyAlignment="1" applyProtection="1">
      <alignment horizontal="center" vertical="center"/>
    </xf>
    <xf numFmtId="0" fontId="16" fillId="0" borderId="17" xfId="0" applyFont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center" vertical="center"/>
    </xf>
    <xf numFmtId="0" fontId="0" fillId="0" borderId="20" xfId="0" applyBorder="1" applyAlignment="1" applyProtection="1">
      <alignment vertical="center"/>
    </xf>
    <xf numFmtId="0" fontId="0" fillId="0" borderId="19" xfId="0" applyFont="1" applyBorder="1" applyAlignment="1" applyProtection="1">
      <alignment horizontal="center" vertical="center"/>
    </xf>
    <xf numFmtId="49" fontId="17" fillId="0" borderId="0" xfId="0" applyNumberFormat="1" applyFont="1" applyBorder="1" applyAlignment="1" applyProtection="1">
      <alignment horizontal="center" vertical="center"/>
    </xf>
    <xf numFmtId="9" fontId="9" fillId="0" borderId="1" xfId="1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0" fontId="3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1" xfId="0" applyFont="1" applyBorder="1" applyAlignment="1" applyProtection="1">
      <alignment horizontal="center" vertical="center"/>
    </xf>
    <xf numFmtId="0" fontId="0" fillId="0" borderId="23" xfId="0" applyBorder="1" applyProtection="1"/>
    <xf numFmtId="0" fontId="19" fillId="3" borderId="16" xfId="2" applyFill="1" applyBorder="1"/>
    <xf numFmtId="0" fontId="19" fillId="0" borderId="0" xfId="2" applyFill="1"/>
    <xf numFmtId="0" fontId="23" fillId="3" borderId="1" xfId="2" applyFont="1" applyFill="1" applyBorder="1"/>
    <xf numFmtId="49" fontId="24" fillId="3" borderId="1" xfId="2" applyNumberFormat="1" applyFont="1" applyFill="1" applyBorder="1" applyAlignment="1" applyProtection="1">
      <alignment horizontal="left"/>
      <protection locked="0"/>
    </xf>
    <xf numFmtId="14" fontId="19" fillId="3" borderId="0" xfId="2" applyNumberFormat="1" applyFill="1" applyBorder="1" applyAlignment="1">
      <alignment horizontal="left"/>
    </xf>
    <xf numFmtId="49" fontId="19" fillId="3" borderId="1" xfId="2" applyNumberFormat="1" applyFill="1" applyBorder="1" applyAlignment="1" applyProtection="1">
      <alignment horizontal="left"/>
      <protection locked="0"/>
    </xf>
    <xf numFmtId="0" fontId="19" fillId="3" borderId="0" xfId="2" applyFill="1" applyBorder="1" applyAlignment="1">
      <alignment horizontal="left"/>
    </xf>
    <xf numFmtId="0" fontId="24" fillId="0" borderId="0" xfId="2" applyFont="1" applyFill="1"/>
    <xf numFmtId="0" fontId="19" fillId="0" borderId="1" xfId="2" applyFill="1" applyBorder="1" applyAlignment="1" applyProtection="1">
      <alignment horizontal="center"/>
      <protection locked="0"/>
    </xf>
    <xf numFmtId="0" fontId="19" fillId="0" borderId="1" xfId="2" applyFill="1" applyBorder="1"/>
    <xf numFmtId="0" fontId="19" fillId="3" borderId="19" xfId="2" applyFill="1" applyBorder="1"/>
    <xf numFmtId="0" fontId="19" fillId="3" borderId="0" xfId="2" applyFill="1" applyBorder="1"/>
    <xf numFmtId="0" fontId="19" fillId="3" borderId="18" xfId="2" applyFill="1" applyBorder="1"/>
    <xf numFmtId="0" fontId="24" fillId="3" borderId="1" xfId="2" applyFont="1" applyFill="1" applyBorder="1" applyProtection="1">
      <protection locked="0"/>
    </xf>
    <xf numFmtId="0" fontId="19" fillId="3" borderId="20" xfId="2" applyFill="1" applyBorder="1"/>
    <xf numFmtId="0" fontId="23" fillId="3" borderId="28" xfId="2" applyFont="1" applyFill="1" applyBorder="1"/>
    <xf numFmtId="0" fontId="19" fillId="3" borderId="28" xfId="2" applyFill="1" applyBorder="1" applyProtection="1">
      <protection locked="0"/>
    </xf>
    <xf numFmtId="0" fontId="19" fillId="3" borderId="1" xfId="2" applyFill="1" applyBorder="1" applyProtection="1">
      <protection locked="0"/>
    </xf>
    <xf numFmtId="0" fontId="19" fillId="3" borderId="29" xfId="2" applyFill="1" applyBorder="1" applyProtection="1">
      <protection locked="0"/>
    </xf>
    <xf numFmtId="0" fontId="23" fillId="3" borderId="28" xfId="2" applyFont="1" applyFill="1" applyBorder="1" applyAlignment="1">
      <alignment horizontal="left"/>
    </xf>
    <xf numFmtId="0" fontId="19" fillId="3" borderId="28" xfId="2" applyFill="1" applyBorder="1"/>
    <xf numFmtId="0" fontId="19" fillId="0" borderId="0" xfId="2" applyFill="1" applyBorder="1"/>
    <xf numFmtId="49" fontId="23" fillId="3" borderId="1" xfId="2" applyNumberFormat="1" applyFont="1" applyFill="1" applyBorder="1" applyProtection="1">
      <protection locked="0"/>
    </xf>
    <xf numFmtId="0" fontId="23" fillId="3" borderId="0" xfId="2" applyFont="1" applyFill="1" applyBorder="1"/>
    <xf numFmtId="0" fontId="19" fillId="0" borderId="0" xfId="2"/>
    <xf numFmtId="49" fontId="19" fillId="3" borderId="1" xfId="2" applyNumberFormat="1" applyFill="1" applyBorder="1" applyProtection="1">
      <protection locked="0"/>
    </xf>
    <xf numFmtId="0" fontId="23" fillId="3" borderId="19" xfId="2" applyFont="1" applyFill="1" applyBorder="1"/>
    <xf numFmtId="0" fontId="19" fillId="3" borderId="19" xfId="2" applyFill="1" applyBorder="1" applyAlignment="1">
      <alignment vertical="top" wrapText="1"/>
    </xf>
    <xf numFmtId="0" fontId="19" fillId="3" borderId="0" xfId="2" applyFill="1" applyBorder="1" applyAlignment="1">
      <alignment vertical="top" wrapText="1"/>
    </xf>
    <xf numFmtId="0" fontId="19" fillId="0" borderId="0" xfId="2" applyFill="1" applyAlignment="1">
      <alignment horizontal="left" vertical="top" wrapText="1"/>
    </xf>
    <xf numFmtId="0" fontId="19" fillId="0" borderId="0" xfId="2" applyAlignment="1">
      <alignment horizontal="left" vertical="top" wrapText="1"/>
    </xf>
    <xf numFmtId="0" fontId="26" fillId="3" borderId="21" xfId="2" applyFont="1" applyFill="1" applyBorder="1" applyAlignment="1">
      <alignment vertical="top"/>
    </xf>
    <xf numFmtId="0" fontId="19" fillId="3" borderId="22" xfId="2" applyFill="1" applyBorder="1" applyAlignment="1">
      <alignment vertical="top"/>
    </xf>
    <xf numFmtId="0" fontId="19" fillId="3" borderId="22" xfId="2" applyFill="1" applyBorder="1"/>
    <xf numFmtId="0" fontId="19" fillId="3" borderId="15" xfId="2" applyFill="1" applyBorder="1"/>
    <xf numFmtId="0" fontId="27" fillId="0" borderId="0" xfId="2" applyFont="1" applyProtection="1">
      <protection hidden="1"/>
    </xf>
    <xf numFmtId="0" fontId="27" fillId="0" borderId="0" xfId="2" applyFont="1"/>
    <xf numFmtId="0" fontId="14" fillId="0" borderId="0" xfId="0" applyFont="1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1" fontId="0" fillId="0" borderId="0" xfId="0" applyNumberFormat="1"/>
    <xf numFmtId="49" fontId="0" fillId="0" borderId="0" xfId="0" applyNumberFormat="1"/>
    <xf numFmtId="49" fontId="19" fillId="3" borderId="1" xfId="2" applyNumberFormat="1" applyFill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0" fillId="5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164" fontId="3" fillId="0" borderId="3" xfId="0" applyNumberFormat="1" applyFont="1" applyFill="1" applyBorder="1" applyAlignment="1" applyProtection="1">
      <alignment horizontal="center" vertical="center"/>
      <protection locked="0"/>
    </xf>
    <xf numFmtId="164" fontId="3" fillId="0" borderId="4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2" borderId="1" xfId="0" applyFill="1" applyBorder="1" applyAlignment="1" applyProtection="1">
      <alignment horizontal="center"/>
    </xf>
    <xf numFmtId="0" fontId="11" fillId="0" borderId="3" xfId="0" applyFont="1" applyBorder="1" applyAlignment="1" applyProtection="1">
      <alignment horizontal="left" wrapText="1"/>
    </xf>
    <xf numFmtId="0" fontId="11" fillId="0" borderId="4" xfId="0" applyFont="1" applyBorder="1" applyAlignment="1" applyProtection="1">
      <alignment horizontal="left" wrapText="1"/>
    </xf>
    <xf numFmtId="0" fontId="11" fillId="0" borderId="15" xfId="0" applyFont="1" applyBorder="1" applyAlignment="1" applyProtection="1">
      <alignment horizontal="left" wrapText="1"/>
    </xf>
    <xf numFmtId="0" fontId="13" fillId="0" borderId="1" xfId="0" applyFont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</xf>
    <xf numFmtId="0" fontId="11" fillId="0" borderId="5" xfId="0" applyFont="1" applyBorder="1" applyAlignment="1" applyProtection="1">
      <alignment horizontal="left" wrapText="1"/>
    </xf>
    <xf numFmtId="0" fontId="14" fillId="0" borderId="3" xfId="0" applyFont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4" fillId="0" borderId="5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wrapText="1"/>
    </xf>
    <xf numFmtId="0" fontId="14" fillId="0" borderId="3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0" fontId="14" fillId="0" borderId="16" xfId="0" applyFont="1" applyBorder="1" applyAlignment="1" applyProtection="1">
      <alignment horizontal="center"/>
    </xf>
    <xf numFmtId="0" fontId="14" fillId="0" borderId="17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0" fillId="0" borderId="3" xfId="0" applyFont="1" applyBorder="1" applyAlignment="1" applyProtection="1">
      <alignment horizontal="center" vertical="center"/>
    </xf>
    <xf numFmtId="0" fontId="10" fillId="0" borderId="4" xfId="0" applyFont="1" applyBorder="1" applyAlignment="1" applyProtection="1">
      <alignment horizontal="center" vertical="center"/>
    </xf>
    <xf numFmtId="0" fontId="10" fillId="0" borderId="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vertical="center"/>
    </xf>
    <xf numFmtId="0" fontId="9" fillId="0" borderId="5" xfId="0" applyFont="1" applyBorder="1" applyAlignment="1" applyProtection="1">
      <alignment horizontal="center" vertical="center"/>
    </xf>
    <xf numFmtId="0" fontId="14" fillId="0" borderId="16" xfId="0" applyFont="1" applyBorder="1" applyAlignment="1" applyProtection="1">
      <alignment horizontal="center" vertical="center"/>
    </xf>
    <xf numFmtId="0" fontId="14" fillId="0" borderId="17" xfId="0" applyFont="1" applyBorder="1" applyAlignment="1" applyProtection="1">
      <alignment horizontal="center" vertical="center"/>
    </xf>
    <xf numFmtId="0" fontId="14" fillId="0" borderId="18" xfId="0" applyFont="1" applyBorder="1" applyAlignment="1" applyProtection="1">
      <alignment horizontal="center" vertical="center"/>
    </xf>
    <xf numFmtId="9" fontId="15" fillId="0" borderId="19" xfId="0" applyNumberFormat="1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9" fillId="0" borderId="3" xfId="0" applyFont="1" applyFill="1" applyBorder="1" applyAlignment="1" applyProtection="1">
      <alignment horizontal="center" vertical="center"/>
    </xf>
    <xf numFmtId="0" fontId="9" fillId="0" borderId="4" xfId="0" applyFont="1" applyFill="1" applyBorder="1" applyAlignment="1" applyProtection="1">
      <alignment horizontal="center" vertical="center"/>
    </xf>
    <xf numFmtId="0" fontId="9" fillId="0" borderId="5" xfId="0" applyFont="1" applyFill="1" applyBorder="1" applyAlignment="1" applyProtection="1">
      <alignment horizontal="center" vertical="center"/>
    </xf>
    <xf numFmtId="0" fontId="14" fillId="0" borderId="21" xfId="0" applyFont="1" applyBorder="1" applyAlignment="1" applyProtection="1">
      <alignment horizontal="center" vertical="center"/>
    </xf>
    <xf numFmtId="0" fontId="14" fillId="0" borderId="22" xfId="0" applyFont="1" applyBorder="1" applyAlignment="1" applyProtection="1">
      <alignment horizontal="center" vertical="center"/>
    </xf>
    <xf numFmtId="0" fontId="14" fillId="0" borderId="1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center" vertical="center" wrapText="1"/>
    </xf>
    <xf numFmtId="0" fontId="14" fillId="0" borderId="19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20" xfId="0" applyFont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4" fillId="0" borderId="21" xfId="0" applyFont="1" applyBorder="1" applyAlignment="1" applyProtection="1">
      <alignment horizontal="center"/>
    </xf>
    <xf numFmtId="0" fontId="14" fillId="0" borderId="22" xfId="0" applyFont="1" applyBorder="1" applyAlignment="1" applyProtection="1">
      <alignment horizontal="center"/>
    </xf>
    <xf numFmtId="0" fontId="14" fillId="0" borderId="15" xfId="0" applyFont="1" applyBorder="1" applyAlignment="1" applyProtection="1">
      <alignment horizontal="center"/>
    </xf>
    <xf numFmtId="165" fontId="18" fillId="0" borderId="3" xfId="1" applyNumberFormat="1" applyFont="1" applyBorder="1" applyAlignment="1" applyProtection="1">
      <alignment horizontal="center" vertical="center"/>
    </xf>
    <xf numFmtId="165" fontId="18" fillId="0" borderId="4" xfId="1" applyNumberFormat="1" applyFont="1" applyBorder="1" applyAlignment="1" applyProtection="1">
      <alignment horizontal="center" vertical="center"/>
    </xf>
    <xf numFmtId="165" fontId="18" fillId="0" borderId="5" xfId="1" applyNumberFormat="1" applyFont="1" applyBorder="1" applyAlignment="1" applyProtection="1">
      <alignment horizontal="center" vertical="center"/>
    </xf>
    <xf numFmtId="0" fontId="23" fillId="3" borderId="1" xfId="2" applyFont="1" applyFill="1" applyBorder="1" applyAlignment="1">
      <alignment horizontal="left"/>
    </xf>
    <xf numFmtId="49" fontId="19" fillId="3" borderId="3" xfId="2" applyNumberFormat="1" applyFill="1" applyBorder="1" applyAlignment="1" applyProtection="1">
      <alignment horizontal="left"/>
      <protection locked="0"/>
    </xf>
    <xf numFmtId="49" fontId="19" fillId="3" borderId="4" xfId="2" applyNumberFormat="1" applyFill="1" applyBorder="1" applyAlignment="1" applyProtection="1">
      <alignment horizontal="left"/>
      <protection locked="0"/>
    </xf>
    <xf numFmtId="49" fontId="19" fillId="3" borderId="5" xfId="2" applyNumberFormat="1" applyFill="1" applyBorder="1" applyAlignment="1" applyProtection="1">
      <alignment horizontal="left"/>
      <protection locked="0"/>
    </xf>
    <xf numFmtId="0" fontId="20" fillId="4" borderId="24" xfId="2" applyFont="1" applyFill="1" applyBorder="1" applyAlignment="1" applyProtection="1">
      <alignment horizontal="center" vertical="center"/>
      <protection locked="0"/>
    </xf>
    <xf numFmtId="0" fontId="20" fillId="4" borderId="25" xfId="2" applyFont="1" applyFill="1" applyBorder="1" applyAlignment="1" applyProtection="1">
      <alignment horizontal="center" vertical="center"/>
      <protection locked="0"/>
    </xf>
    <xf numFmtId="0" fontId="20" fillId="4" borderId="26" xfId="2" applyFont="1" applyFill="1" applyBorder="1" applyAlignment="1" applyProtection="1">
      <alignment horizontal="center" vertical="center"/>
      <protection locked="0"/>
    </xf>
    <xf numFmtId="0" fontId="21" fillId="3" borderId="27" xfId="2" applyFont="1" applyFill="1" applyBorder="1" applyAlignment="1">
      <alignment horizontal="center"/>
    </xf>
    <xf numFmtId="0" fontId="21" fillId="3" borderId="17" xfId="2" applyFont="1" applyFill="1" applyBorder="1" applyAlignment="1">
      <alignment horizontal="center"/>
    </xf>
    <xf numFmtId="0" fontId="21" fillId="3" borderId="18" xfId="2" applyFont="1" applyFill="1" applyBorder="1" applyAlignment="1">
      <alignment horizontal="center"/>
    </xf>
    <xf numFmtId="0" fontId="19" fillId="3" borderId="19" xfId="2" applyFill="1" applyBorder="1" applyAlignment="1">
      <alignment horizontal="center"/>
    </xf>
    <xf numFmtId="0" fontId="19" fillId="3" borderId="0" xfId="2" applyFill="1" applyBorder="1" applyAlignment="1">
      <alignment horizontal="center"/>
    </xf>
    <xf numFmtId="0" fontId="19" fillId="3" borderId="20" xfId="2" applyFill="1" applyBorder="1" applyAlignment="1">
      <alignment horizontal="center"/>
    </xf>
    <xf numFmtId="0" fontId="22" fillId="3" borderId="19" xfId="2" applyFont="1" applyFill="1" applyBorder="1" applyAlignment="1">
      <alignment horizontal="left"/>
    </xf>
    <xf numFmtId="0" fontId="22" fillId="3" borderId="0" xfId="2" applyFont="1" applyFill="1" applyBorder="1" applyAlignment="1">
      <alignment horizontal="left"/>
    </xf>
    <xf numFmtId="0" fontId="22" fillId="3" borderId="20" xfId="2" applyFont="1" applyFill="1" applyBorder="1" applyAlignment="1">
      <alignment horizontal="left"/>
    </xf>
    <xf numFmtId="49" fontId="19" fillId="3" borderId="1" xfId="2" applyNumberFormat="1" applyFill="1" applyBorder="1" applyAlignment="1" applyProtection="1">
      <alignment horizontal="left"/>
      <protection locked="0"/>
    </xf>
    <xf numFmtId="0" fontId="23" fillId="3" borderId="28" xfId="2" applyFont="1" applyFill="1" applyBorder="1" applyAlignment="1">
      <alignment horizontal="left"/>
    </xf>
    <xf numFmtId="0" fontId="23" fillId="3" borderId="0" xfId="2" applyFont="1" applyFill="1" applyBorder="1" applyAlignment="1">
      <alignment horizontal="center"/>
    </xf>
    <xf numFmtId="49" fontId="19" fillId="0" borderId="3" xfId="2" applyNumberFormat="1" applyFill="1" applyBorder="1" applyAlignment="1" applyProtection="1">
      <alignment horizontal="left"/>
      <protection locked="0"/>
    </xf>
    <xf numFmtId="49" fontId="19" fillId="0" borderId="4" xfId="2" applyNumberFormat="1" applyFill="1" applyBorder="1" applyAlignment="1" applyProtection="1">
      <alignment horizontal="left"/>
      <protection locked="0"/>
    </xf>
    <xf numFmtId="49" fontId="19" fillId="0" borderId="5" xfId="2" applyNumberFormat="1" applyFill="1" applyBorder="1" applyAlignment="1" applyProtection="1">
      <alignment horizontal="left"/>
      <protection locked="0"/>
    </xf>
    <xf numFmtId="0" fontId="23" fillId="3" borderId="1" xfId="2" applyFont="1" applyFill="1" applyBorder="1" applyAlignment="1"/>
    <xf numFmtId="0" fontId="19" fillId="3" borderId="28" xfId="2" applyFill="1" applyBorder="1" applyAlignment="1" applyProtection="1">
      <alignment horizontal="left"/>
      <protection locked="0"/>
    </xf>
    <xf numFmtId="0" fontId="19" fillId="3" borderId="30" xfId="2" applyFill="1" applyBorder="1" applyAlignment="1" applyProtection="1">
      <alignment horizontal="left"/>
      <protection locked="0"/>
    </xf>
    <xf numFmtId="0" fontId="19" fillId="3" borderId="1" xfId="2" applyFill="1" applyBorder="1" applyAlignment="1" applyProtection="1">
      <alignment horizontal="left"/>
      <protection locked="0"/>
    </xf>
    <xf numFmtId="0" fontId="19" fillId="0" borderId="30" xfId="2" applyFill="1" applyBorder="1" applyAlignment="1" applyProtection="1">
      <alignment horizontal="left"/>
      <protection locked="0"/>
    </xf>
    <xf numFmtId="0" fontId="19" fillId="0" borderId="1" xfId="2" applyFill="1" applyBorder="1" applyAlignment="1" applyProtection="1">
      <alignment horizontal="left"/>
      <protection locked="0"/>
    </xf>
    <xf numFmtId="0" fontId="23" fillId="3" borderId="3" xfId="2" applyFont="1" applyFill="1" applyBorder="1" applyAlignment="1">
      <alignment horizontal="left"/>
    </xf>
    <xf numFmtId="0" fontId="23" fillId="3" borderId="4" xfId="2" applyFont="1" applyFill="1" applyBorder="1" applyAlignment="1">
      <alignment horizontal="left"/>
    </xf>
    <xf numFmtId="0" fontId="19" fillId="0" borderId="3" xfId="2" applyFill="1" applyBorder="1" applyAlignment="1" applyProtection="1">
      <alignment horizontal="left"/>
      <protection locked="0"/>
    </xf>
    <xf numFmtId="0" fontId="19" fillId="0" borderId="4" xfId="2" applyFill="1" applyBorder="1" applyAlignment="1" applyProtection="1">
      <alignment horizontal="left"/>
      <protection locked="0"/>
    </xf>
    <xf numFmtId="0" fontId="23" fillId="3" borderId="1" xfId="2" applyFont="1" applyFill="1" applyBorder="1" applyAlignment="1" applyProtection="1">
      <alignment horizontal="left"/>
    </xf>
    <xf numFmtId="49" fontId="19" fillId="3" borderId="28" xfId="2" applyNumberFormat="1" applyFill="1" applyBorder="1" applyAlignment="1" applyProtection="1">
      <alignment horizontal="left"/>
      <protection locked="0"/>
    </xf>
    <xf numFmtId="0" fontId="23" fillId="3" borderId="19" xfId="2" applyFont="1" applyFill="1" applyBorder="1" applyAlignment="1">
      <alignment horizontal="left"/>
    </xf>
    <xf numFmtId="0" fontId="23" fillId="3" borderId="0" xfId="2" applyFont="1" applyFill="1" applyBorder="1" applyAlignment="1">
      <alignment horizontal="left"/>
    </xf>
    <xf numFmtId="0" fontId="19" fillId="3" borderId="3" xfId="2" applyFill="1" applyBorder="1" applyAlignment="1" applyProtection="1">
      <alignment horizontal="left" vertical="top" wrapText="1"/>
      <protection locked="0"/>
    </xf>
    <xf numFmtId="0" fontId="19" fillId="3" borderId="4" xfId="2" applyFill="1" applyBorder="1" applyAlignment="1" applyProtection="1">
      <alignment horizontal="left" vertical="top" wrapText="1"/>
      <protection locked="0"/>
    </xf>
    <xf numFmtId="0" fontId="19" fillId="3" borderId="5" xfId="2" applyFill="1" applyBorder="1" applyAlignment="1" applyProtection="1">
      <alignment horizontal="left" vertical="top" wrapText="1"/>
      <protection locked="0"/>
    </xf>
    <xf numFmtId="0" fontId="23" fillId="3" borderId="19" xfId="2" applyFont="1" applyFill="1" applyBorder="1" applyAlignment="1">
      <alignment horizontal="left" vertical="top" wrapText="1"/>
    </xf>
    <xf numFmtId="0" fontId="23" fillId="3" borderId="0" xfId="2" applyFont="1" applyFill="1" applyBorder="1" applyAlignment="1">
      <alignment horizontal="left" vertical="top" wrapText="1"/>
    </xf>
    <xf numFmtId="0" fontId="23" fillId="3" borderId="20" xfId="2" applyFont="1" applyFill="1" applyBorder="1" applyAlignment="1">
      <alignment horizontal="left" vertical="top" wrapText="1"/>
    </xf>
    <xf numFmtId="0" fontId="19" fillId="3" borderId="1" xfId="2" applyFill="1" applyBorder="1" applyAlignment="1" applyProtection="1">
      <alignment horizontal="left" vertical="top" wrapText="1"/>
      <protection locked="0"/>
    </xf>
    <xf numFmtId="0" fontId="19" fillId="3" borderId="0" xfId="2" applyFill="1" applyBorder="1" applyAlignment="1">
      <alignment horizontal="left"/>
    </xf>
    <xf numFmtId="0" fontId="26" fillId="3" borderId="22" xfId="2" applyFont="1" applyFill="1" applyBorder="1" applyAlignment="1">
      <alignment horizontal="left" vertical="top"/>
    </xf>
  </cellXfs>
  <cellStyles count="3">
    <cellStyle name="Normal 2" xfId="2"/>
    <cellStyle name="Prozent" xfId="1" builtinId="5"/>
    <cellStyle name="Standard" xfId="0" builtinId="0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 tint="-0.14996795556505021"/>
      </font>
    </dxf>
    <dxf>
      <font>
        <color rgb="FFFFFF00"/>
      </font>
      <fill>
        <patternFill patternType="lightUp">
          <bgColor rgb="FFFFFF00"/>
        </patternFill>
      </fill>
      <border>
        <bottom style="thin">
          <color rgb="FFFFFF00"/>
        </bottom>
      </border>
    </dxf>
    <dxf>
      <font>
        <color theme="0"/>
      </font>
      <numFmt numFmtId="0" formatCode="General"/>
    </dxf>
    <dxf>
      <font>
        <color theme="0" tint="-0.499984740745262"/>
      </font>
      <fill>
        <patternFill>
          <bgColor theme="0" tint="-0.499984740745262"/>
        </patternFill>
      </fill>
    </dxf>
    <dxf>
      <border>
        <bottom style="thin">
          <color theme="0" tint="-0.499984740745262"/>
        </bottom>
        <vertical/>
        <horizontal/>
      </border>
    </dxf>
    <dxf>
      <border>
        <right style="thin">
          <color theme="0" tint="-0.499984740745262"/>
        </righ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161925</xdr:rowOff>
        </xdr:from>
        <xdr:to>
          <xdr:col>4</xdr:col>
          <xdr:colOff>247650</xdr:colOff>
          <xdr:row>0</xdr:row>
          <xdr:rowOff>647700</xdr:rowOff>
        </xdr:to>
        <xdr:sp macro="" textlink="">
          <xdr:nvSpPr>
            <xdr:cNvPr id="1025" name="Input_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9525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028" name="btnHelp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1495425</xdr:colOff>
      <xdr:row>8</xdr:row>
      <xdr:rowOff>9525</xdr:rowOff>
    </xdr:from>
    <xdr:ext cx="184731" cy="264560"/>
    <xdr:sp macro="" textlink="">
      <xdr:nvSpPr>
        <xdr:cNvPr id="2" name="Textfeld 1"/>
        <xdr:cNvSpPr txBox="1"/>
      </xdr:nvSpPr>
      <xdr:spPr>
        <a:xfrm>
          <a:off x="1495425" y="1533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1000125</xdr:colOff>
          <xdr:row>11</xdr:row>
          <xdr:rowOff>152400</xdr:rowOff>
        </xdr:from>
        <xdr:to>
          <xdr:col>0</xdr:col>
          <xdr:colOff>1466850</xdr:colOff>
          <xdr:row>14</xdr:row>
          <xdr:rowOff>19050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EE_Tbl">
    <pageSetUpPr fitToPage="1"/>
  </sheetPr>
  <dimension ref="A1:XFC85"/>
  <sheetViews>
    <sheetView showGridLines="0" showRowColHeaders="0" tabSelected="1" zoomScale="85" zoomScaleNormal="85" zoomScaleSheetLayoutView="100" workbookViewId="0">
      <pane ySplit="7" topLeftCell="A8" activePane="bottomLeft" state="frozen"/>
      <selection activeCell="E34" sqref="E34"/>
      <selection pane="bottomLeft" activeCell="H2" sqref="H2:R2"/>
    </sheetView>
  </sheetViews>
  <sheetFormatPr baseColWidth="10" defaultColWidth="0" defaultRowHeight="12.75" customHeight="1" zeroHeight="1" x14ac:dyDescent="0.2"/>
  <cols>
    <col min="1" max="1" width="6.140625" style="55" customWidth="1"/>
    <col min="2" max="3" width="6.140625" style="1" customWidth="1"/>
    <col min="4" max="18" width="6.5703125" style="1" customWidth="1"/>
    <col min="19" max="19" width="49.28515625" style="1" customWidth="1"/>
    <col min="20" max="21" width="4.85546875" style="1" customWidth="1"/>
    <col min="22" max="23" width="12" style="1" customWidth="1"/>
    <col min="24" max="24" width="10.28515625" style="1" customWidth="1"/>
    <col min="25" max="25" width="2.7109375" style="1" customWidth="1"/>
    <col min="26" max="26" width="1.140625" style="1" customWidth="1"/>
    <col min="27" max="28" width="4.5703125" style="1" hidden="1"/>
    <col min="29" max="29" width="5.140625" style="1" hidden="1"/>
    <col min="30" max="16383" width="3.7109375" style="1" hidden="1"/>
    <col min="16384" max="16384" width="4.5703125" style="1" hidden="1"/>
  </cols>
  <sheetData>
    <row r="1" spans="1:30" s="2" customFormat="1" ht="59.45" customHeight="1" x14ac:dyDescent="0.5">
      <c r="A1" s="109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"/>
    </row>
    <row r="2" spans="1:30" s="6" customFormat="1" ht="28.15" customHeight="1" x14ac:dyDescent="0.2">
      <c r="A2" s="110" t="s">
        <v>1</v>
      </c>
      <c r="B2" s="111"/>
      <c r="C2" s="111"/>
      <c r="D2" s="111"/>
      <c r="E2" s="111"/>
      <c r="F2" s="111"/>
      <c r="G2" s="111"/>
      <c r="H2" s="112">
        <v>5720</v>
      </c>
      <c r="I2" s="112"/>
      <c r="J2" s="112"/>
      <c r="K2" s="112"/>
      <c r="L2" s="112"/>
      <c r="M2" s="112"/>
      <c r="N2" s="112"/>
      <c r="O2" s="112"/>
      <c r="P2" s="112"/>
      <c r="Q2" s="112"/>
      <c r="R2" s="113"/>
      <c r="S2" s="3"/>
      <c r="T2" s="114">
        <v>42702</v>
      </c>
      <c r="U2" s="115"/>
      <c r="V2" s="116"/>
      <c r="W2" s="4"/>
      <c r="X2" s="4"/>
      <c r="Y2" s="5"/>
    </row>
    <row r="3" spans="1:30" ht="27.75" customHeight="1" x14ac:dyDescent="0.3">
      <c r="A3" s="7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9"/>
      <c r="O3" s="10"/>
      <c r="P3" s="8"/>
      <c r="Q3" s="8"/>
      <c r="R3" s="8"/>
      <c r="S3" s="117"/>
      <c r="T3" s="117"/>
      <c r="U3" s="117"/>
      <c r="V3" s="117"/>
      <c r="W3" s="117"/>
      <c r="X3" s="117"/>
      <c r="Y3" s="117"/>
    </row>
    <row r="4" spans="1:30" ht="7.5" customHeight="1" x14ac:dyDescent="0.2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18"/>
      <c r="T4" s="118"/>
      <c r="U4" s="118"/>
      <c r="V4" s="118"/>
      <c r="W4" s="118"/>
      <c r="X4" s="118"/>
      <c r="Y4" s="118"/>
    </row>
    <row r="5" spans="1:30" ht="27" customHeight="1" x14ac:dyDescent="0.2">
      <c r="A5" s="103" t="s">
        <v>3</v>
      </c>
      <c r="B5" s="104"/>
      <c r="C5" s="105"/>
      <c r="D5" s="103" t="s">
        <v>4</v>
      </c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5"/>
      <c r="S5" s="106" t="s">
        <v>5</v>
      </c>
      <c r="T5" s="106"/>
      <c r="U5" s="106"/>
      <c r="V5" s="106"/>
      <c r="W5" s="106"/>
      <c r="X5" s="106"/>
      <c r="Y5" s="106"/>
    </row>
    <row r="6" spans="1:30" ht="26.45" customHeight="1" x14ac:dyDescent="0.2">
      <c r="A6" s="13">
        <v>480</v>
      </c>
      <c r="B6" s="13">
        <v>480</v>
      </c>
      <c r="C6" s="13">
        <v>480</v>
      </c>
      <c r="D6" s="14"/>
      <c r="E6" s="14"/>
      <c r="F6" s="15"/>
      <c r="G6" s="14"/>
      <c r="H6" s="15"/>
      <c r="I6" s="14"/>
      <c r="J6" s="15"/>
      <c r="K6" s="14"/>
      <c r="L6" s="15"/>
      <c r="M6" s="14"/>
      <c r="N6" s="15"/>
      <c r="O6" s="15"/>
      <c r="P6" s="15"/>
      <c r="Q6" s="16"/>
      <c r="R6" s="16"/>
      <c r="S6" s="106"/>
      <c r="T6" s="106"/>
      <c r="U6" s="106"/>
      <c r="V6" s="106"/>
      <c r="W6" s="106"/>
      <c r="X6" s="106"/>
      <c r="Y6" s="106"/>
    </row>
    <row r="7" spans="1:30" ht="112.15" customHeight="1" x14ac:dyDescent="0.2">
      <c r="A7" s="102" t="s">
        <v>6</v>
      </c>
      <c r="B7" s="101" t="s">
        <v>7</v>
      </c>
      <c r="C7" s="101" t="s">
        <v>8</v>
      </c>
      <c r="D7" s="15" t="s">
        <v>9</v>
      </c>
      <c r="E7" s="15" t="s">
        <v>10</v>
      </c>
      <c r="F7" s="15" t="s">
        <v>11</v>
      </c>
      <c r="G7" s="14" t="s">
        <v>12</v>
      </c>
      <c r="H7" s="15" t="s">
        <v>13</v>
      </c>
      <c r="I7" s="14" t="s">
        <v>14</v>
      </c>
      <c r="J7" s="15" t="s">
        <v>182</v>
      </c>
      <c r="K7" s="15" t="s">
        <v>183</v>
      </c>
      <c r="L7" s="15" t="s">
        <v>15</v>
      </c>
      <c r="M7" s="14" t="s">
        <v>16</v>
      </c>
      <c r="N7" s="15" t="s">
        <v>17</v>
      </c>
      <c r="O7" s="15" t="s">
        <v>184</v>
      </c>
      <c r="P7" s="15" t="s">
        <v>18</v>
      </c>
      <c r="Q7" s="15" t="s">
        <v>19</v>
      </c>
      <c r="R7" s="14" t="s">
        <v>20</v>
      </c>
      <c r="S7" s="17" t="s">
        <v>21</v>
      </c>
      <c r="T7" s="107" t="s">
        <v>22</v>
      </c>
      <c r="U7" s="107"/>
      <c r="V7" s="107"/>
      <c r="W7" s="107"/>
      <c r="X7" s="107"/>
      <c r="Y7" s="107"/>
    </row>
    <row r="8" spans="1:30" ht="20.25" customHeight="1" x14ac:dyDescent="0.2">
      <c r="A8" s="18">
        <v>0.20833333333333334</v>
      </c>
      <c r="B8" s="18">
        <v>0.54166666666666663</v>
      </c>
      <c r="C8" s="19">
        <v>0.875</v>
      </c>
      <c r="D8" s="20">
        <v>2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2"/>
      <c r="R8" s="23"/>
      <c r="S8" s="24"/>
      <c r="T8" s="108"/>
      <c r="U8" s="108"/>
      <c r="V8" s="108"/>
      <c r="W8" s="108"/>
      <c r="X8" s="108"/>
      <c r="Y8" s="108"/>
      <c r="AC8" s="1" t="s">
        <v>23</v>
      </c>
      <c r="AD8" s="1" t="s">
        <v>161</v>
      </c>
    </row>
    <row r="9" spans="1:30" ht="20.25" customHeight="1" x14ac:dyDescent="0.2">
      <c r="A9" s="25">
        <v>0.21527777777777779</v>
      </c>
      <c r="B9" s="25">
        <v>0.54861111111111105</v>
      </c>
      <c r="C9" s="26">
        <v>0.88194444444444453</v>
      </c>
      <c r="D9" s="2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 s="23"/>
      <c r="S9" s="24"/>
      <c r="T9" s="108"/>
      <c r="U9" s="108"/>
      <c r="V9" s="108"/>
      <c r="W9" s="108"/>
      <c r="X9" s="108"/>
      <c r="Y9" s="108"/>
      <c r="AC9" s="1">
        <v>5720</v>
      </c>
      <c r="AD9" s="100">
        <v>1</v>
      </c>
    </row>
    <row r="10" spans="1:30" ht="20.25" customHeight="1" x14ac:dyDescent="0.2">
      <c r="A10" s="25">
        <v>0.22222222222222221</v>
      </c>
      <c r="B10" s="25">
        <v>0.55555555555555558</v>
      </c>
      <c r="C10" s="26">
        <v>0.88888888888888884</v>
      </c>
      <c r="D10" s="27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9"/>
      <c r="R10" s="23"/>
      <c r="S10" s="24"/>
      <c r="T10" s="108"/>
      <c r="U10" s="108"/>
      <c r="V10" s="108"/>
      <c r="W10" s="108"/>
      <c r="X10" s="108"/>
      <c r="Y10" s="108"/>
      <c r="AC10" s="1" t="s">
        <v>24</v>
      </c>
    </row>
    <row r="11" spans="1:30" ht="20.25" customHeight="1" x14ac:dyDescent="0.2">
      <c r="A11" s="25">
        <v>0.22916666666666699</v>
      </c>
      <c r="B11" s="25">
        <v>0.5625</v>
      </c>
      <c r="C11" s="26">
        <v>0.89583333333333304</v>
      </c>
      <c r="D11" s="27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3"/>
      <c r="S11" s="24"/>
      <c r="T11" s="108"/>
      <c r="U11" s="108"/>
      <c r="V11" s="108"/>
      <c r="W11" s="108"/>
      <c r="X11" s="108"/>
      <c r="Y11" s="108"/>
      <c r="AC11" s="1" t="s">
        <v>25</v>
      </c>
    </row>
    <row r="12" spans="1:30" ht="20.25" customHeight="1" x14ac:dyDescent="0.2">
      <c r="A12" s="25">
        <v>0.23611111111111099</v>
      </c>
      <c r="B12" s="25">
        <v>0.56944444444444398</v>
      </c>
      <c r="C12" s="26">
        <v>0.90277777777777801</v>
      </c>
      <c r="D12" s="2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9"/>
      <c r="R12" s="23"/>
      <c r="S12" s="24"/>
      <c r="T12" s="108"/>
      <c r="U12" s="108"/>
      <c r="V12" s="108"/>
      <c r="W12" s="108"/>
      <c r="X12" s="108"/>
      <c r="Y12" s="108"/>
      <c r="AC12" s="1" t="s">
        <v>2</v>
      </c>
    </row>
    <row r="13" spans="1:30" ht="20.25" customHeight="1" x14ac:dyDescent="0.2">
      <c r="A13" s="25">
        <v>0.243055555555556</v>
      </c>
      <c r="B13" s="25">
        <v>0.57638888888888895</v>
      </c>
      <c r="C13" s="26">
        <v>0.90972222222222299</v>
      </c>
      <c r="D13" s="27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9"/>
      <c r="R13" s="23"/>
      <c r="S13" s="24"/>
      <c r="T13" s="108"/>
      <c r="U13" s="108"/>
      <c r="V13" s="108"/>
      <c r="W13" s="108"/>
      <c r="X13" s="108"/>
      <c r="Y13" s="108"/>
      <c r="AC13" s="1" t="s">
        <v>26</v>
      </c>
    </row>
    <row r="14" spans="1:30" ht="20.25" customHeight="1" x14ac:dyDescent="0.2">
      <c r="A14" s="18">
        <v>0.25</v>
      </c>
      <c r="B14" s="18">
        <v>0.58333333333333304</v>
      </c>
      <c r="C14" s="19">
        <v>0.91666666666666696</v>
      </c>
      <c r="D14" s="27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23"/>
      <c r="S14" s="24"/>
      <c r="T14" s="108"/>
      <c r="U14" s="108"/>
      <c r="V14" s="108"/>
      <c r="W14" s="108"/>
      <c r="X14" s="108"/>
      <c r="Y14" s="108"/>
      <c r="AC14" s="1" t="s">
        <v>27</v>
      </c>
    </row>
    <row r="15" spans="1:30" ht="20.25" customHeight="1" x14ac:dyDescent="0.2">
      <c r="A15" s="25">
        <v>0.25694444444444398</v>
      </c>
      <c r="B15" s="25">
        <v>0.59027777777777801</v>
      </c>
      <c r="C15" s="26">
        <v>0.92361111111111205</v>
      </c>
      <c r="D15" s="27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R15" s="23"/>
      <c r="S15" s="24"/>
      <c r="T15" s="108"/>
      <c r="U15" s="108"/>
      <c r="V15" s="108"/>
      <c r="W15" s="108"/>
      <c r="X15" s="108"/>
      <c r="Y15" s="108"/>
      <c r="AC15" s="1" t="s">
        <v>28</v>
      </c>
    </row>
    <row r="16" spans="1:30" ht="20.25" customHeight="1" x14ac:dyDescent="0.2">
      <c r="A16" s="25">
        <v>0.26388888888888901</v>
      </c>
      <c r="B16" s="25">
        <v>0.59722222222222199</v>
      </c>
      <c r="C16" s="26">
        <v>0.93055555555555602</v>
      </c>
      <c r="D16" s="27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9"/>
      <c r="R16" s="23"/>
      <c r="S16" s="24"/>
      <c r="T16" s="108"/>
      <c r="U16" s="108"/>
      <c r="V16" s="108"/>
      <c r="W16" s="108"/>
      <c r="X16" s="108"/>
      <c r="Y16" s="108"/>
      <c r="AC16" s="1" t="s">
        <v>29</v>
      </c>
    </row>
    <row r="17" spans="1:29" ht="20.25" customHeight="1" x14ac:dyDescent="0.2">
      <c r="A17" s="25">
        <v>0.27083333333333298</v>
      </c>
      <c r="B17" s="25">
        <v>0.60416666666666596</v>
      </c>
      <c r="C17" s="26">
        <v>0.937500000000001</v>
      </c>
      <c r="D17" s="27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9"/>
      <c r="R17" s="23"/>
      <c r="S17" s="24"/>
      <c r="T17" s="108"/>
      <c r="U17" s="108"/>
      <c r="V17" s="108"/>
      <c r="W17" s="108"/>
      <c r="X17" s="108"/>
      <c r="Y17" s="108"/>
      <c r="AC17" s="1" t="s">
        <v>30</v>
      </c>
    </row>
    <row r="18" spans="1:29" ht="20.25" customHeight="1" x14ac:dyDescent="0.2">
      <c r="A18" s="25">
        <v>0.27777777777777801</v>
      </c>
      <c r="B18" s="25">
        <v>0.61111111111111105</v>
      </c>
      <c r="C18" s="26">
        <v>0.94444444444444497</v>
      </c>
      <c r="D18" s="27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9"/>
      <c r="R18" s="23"/>
      <c r="S18" s="24"/>
      <c r="T18" s="108"/>
      <c r="U18" s="108"/>
      <c r="V18" s="108"/>
      <c r="W18" s="108"/>
      <c r="X18" s="108"/>
      <c r="Y18" s="108"/>
      <c r="AC18" s="1" t="s">
        <v>31</v>
      </c>
    </row>
    <row r="19" spans="1:29" ht="20.25" customHeight="1" x14ac:dyDescent="0.2">
      <c r="A19" s="25">
        <v>0.28472222222222199</v>
      </c>
      <c r="B19" s="25">
        <v>0.61805555555555503</v>
      </c>
      <c r="C19" s="26">
        <v>0.95138888888888995</v>
      </c>
      <c r="D19" s="27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R19" s="23"/>
      <c r="S19" s="24"/>
      <c r="T19" s="108"/>
      <c r="U19" s="108"/>
      <c r="V19" s="108"/>
      <c r="W19" s="108"/>
      <c r="X19" s="108"/>
      <c r="Y19" s="108"/>
      <c r="AC19" s="1" t="s">
        <v>32</v>
      </c>
    </row>
    <row r="20" spans="1:29" ht="20.25" customHeight="1" x14ac:dyDescent="0.2">
      <c r="A20" s="18">
        <v>0.29166666666666702</v>
      </c>
      <c r="B20" s="18">
        <v>0.625</v>
      </c>
      <c r="C20" s="19">
        <v>0.95833333333333404</v>
      </c>
      <c r="D20" s="27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23"/>
      <c r="S20" s="24"/>
      <c r="T20" s="108"/>
      <c r="U20" s="108"/>
      <c r="V20" s="108"/>
      <c r="W20" s="108"/>
      <c r="X20" s="108"/>
      <c r="Y20" s="108"/>
      <c r="AC20" s="1" t="s">
        <v>33</v>
      </c>
    </row>
    <row r="21" spans="1:29" ht="20.25" customHeight="1" x14ac:dyDescent="0.2">
      <c r="A21" s="25">
        <v>0.29861111111111099</v>
      </c>
      <c r="B21" s="25">
        <v>0.63194444444444398</v>
      </c>
      <c r="C21" s="26">
        <v>0.96527777777777901</v>
      </c>
      <c r="D21" s="27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  <c r="R21" s="23"/>
      <c r="S21" s="24"/>
      <c r="T21" s="108"/>
      <c r="U21" s="108"/>
      <c r="V21" s="108"/>
      <c r="W21" s="108"/>
      <c r="X21" s="108"/>
      <c r="Y21" s="108"/>
      <c r="AC21" s="1" t="s">
        <v>34</v>
      </c>
    </row>
    <row r="22" spans="1:29" ht="20.25" customHeight="1" x14ac:dyDescent="0.2">
      <c r="A22" s="25">
        <v>0.30555555555555602</v>
      </c>
      <c r="B22" s="25">
        <v>0.63888888888888895</v>
      </c>
      <c r="C22" s="26">
        <v>0.97222222222222299</v>
      </c>
      <c r="D22" s="27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9"/>
      <c r="R22" s="23"/>
      <c r="S22" s="24"/>
      <c r="T22" s="108"/>
      <c r="U22" s="108"/>
      <c r="V22" s="108"/>
      <c r="W22" s="108"/>
      <c r="X22" s="108"/>
      <c r="Y22" s="108"/>
      <c r="AC22" s="1" t="s">
        <v>35</v>
      </c>
    </row>
    <row r="23" spans="1:29" ht="20.25" customHeight="1" x14ac:dyDescent="0.2">
      <c r="A23" s="25">
        <v>0.3125</v>
      </c>
      <c r="B23" s="25">
        <v>0.64583333333333304</v>
      </c>
      <c r="C23" s="26">
        <v>0.97916666666666796</v>
      </c>
      <c r="D23" s="27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9"/>
      <c r="R23" s="23"/>
      <c r="S23" s="24"/>
      <c r="T23" s="108"/>
      <c r="U23" s="108"/>
      <c r="V23" s="108"/>
      <c r="W23" s="108"/>
      <c r="X23" s="108"/>
      <c r="Y23" s="108"/>
      <c r="AC23" s="1" t="s">
        <v>36</v>
      </c>
    </row>
    <row r="24" spans="1:29" ht="20.25" customHeight="1" x14ac:dyDescent="0.2">
      <c r="A24" s="25">
        <v>0.31944444444444398</v>
      </c>
      <c r="B24" s="25">
        <v>0.65277777777777801</v>
      </c>
      <c r="C24" s="26">
        <v>0.98611111111111205</v>
      </c>
      <c r="D24" s="27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9"/>
      <c r="R24" s="23"/>
      <c r="S24" s="24"/>
      <c r="T24" s="108"/>
      <c r="U24" s="108"/>
      <c r="V24" s="108"/>
      <c r="W24" s="108"/>
      <c r="X24" s="108"/>
      <c r="Y24" s="108"/>
      <c r="AC24" s="1" t="s">
        <v>37</v>
      </c>
    </row>
    <row r="25" spans="1:29" ht="20.25" customHeight="1" x14ac:dyDescent="0.2">
      <c r="A25" s="25">
        <v>0.32638888888888901</v>
      </c>
      <c r="B25" s="25">
        <v>0.65972222222222199</v>
      </c>
      <c r="C25" s="26">
        <v>0.99305555555555702</v>
      </c>
      <c r="D25" s="2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9"/>
      <c r="R25" s="23"/>
      <c r="S25" s="24"/>
      <c r="T25" s="108"/>
      <c r="U25" s="108"/>
      <c r="V25" s="108"/>
      <c r="W25" s="108"/>
      <c r="X25" s="108"/>
      <c r="Y25" s="108"/>
      <c r="AC25" s="1" t="s">
        <v>38</v>
      </c>
    </row>
    <row r="26" spans="1:29" ht="20.25" customHeight="1" x14ac:dyDescent="0.2">
      <c r="A26" s="18">
        <v>0.33333333333333298</v>
      </c>
      <c r="B26" s="18">
        <v>0.66666666666666696</v>
      </c>
      <c r="C26" s="19">
        <v>1</v>
      </c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9"/>
      <c r="R26" s="23"/>
      <c r="S26" s="24"/>
      <c r="T26" s="108"/>
      <c r="U26" s="108"/>
      <c r="V26" s="108"/>
      <c r="W26" s="108"/>
      <c r="X26" s="108"/>
      <c r="Y26" s="108"/>
      <c r="AC26" s="1" t="s">
        <v>39</v>
      </c>
    </row>
    <row r="27" spans="1:29" ht="20.25" customHeight="1" x14ac:dyDescent="0.2">
      <c r="A27" s="25">
        <v>0.34027777777777801</v>
      </c>
      <c r="B27" s="25">
        <v>0.67361111111111105</v>
      </c>
      <c r="C27" s="26">
        <v>1.00694444444445</v>
      </c>
      <c r="D27" s="27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9"/>
      <c r="R27" s="23"/>
      <c r="S27" s="24"/>
      <c r="T27" s="108"/>
      <c r="U27" s="108"/>
      <c r="V27" s="108"/>
      <c r="W27" s="108"/>
      <c r="X27" s="108"/>
      <c r="Y27" s="108"/>
      <c r="AC27" s="1" t="s">
        <v>40</v>
      </c>
    </row>
    <row r="28" spans="1:29" ht="20.25" customHeight="1" x14ac:dyDescent="0.2">
      <c r="A28" s="25">
        <v>0.34722222222222199</v>
      </c>
      <c r="B28" s="25">
        <v>0.68055555555555503</v>
      </c>
      <c r="C28" s="26">
        <v>1.0138888888888899</v>
      </c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9"/>
      <c r="R28" s="23"/>
      <c r="S28" s="24"/>
      <c r="T28" s="108"/>
      <c r="U28" s="108"/>
      <c r="V28" s="108"/>
      <c r="W28" s="108"/>
      <c r="X28" s="108"/>
      <c r="Y28" s="108"/>
      <c r="AC28" s="1" t="s">
        <v>41</v>
      </c>
    </row>
    <row r="29" spans="1:29" ht="20.25" customHeight="1" x14ac:dyDescent="0.2">
      <c r="A29" s="25">
        <v>0.35416666666666602</v>
      </c>
      <c r="B29" s="25">
        <v>0.6875</v>
      </c>
      <c r="C29" s="26">
        <v>1.0208333333333399</v>
      </c>
      <c r="D29" s="27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9"/>
      <c r="R29" s="23"/>
      <c r="S29" s="24"/>
      <c r="T29" s="108"/>
      <c r="U29" s="108"/>
      <c r="V29" s="108"/>
      <c r="W29" s="108"/>
      <c r="X29" s="108"/>
      <c r="Y29" s="108"/>
      <c r="AC29" s="1">
        <v>6440</v>
      </c>
    </row>
    <row r="30" spans="1:29" ht="20.25" customHeight="1" x14ac:dyDescent="0.2">
      <c r="A30" s="25">
        <v>0.36111111111111099</v>
      </c>
      <c r="B30" s="25">
        <v>0.69444444444444398</v>
      </c>
      <c r="C30" s="26">
        <v>1.0277777777777799</v>
      </c>
      <c r="D30" s="27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9"/>
      <c r="R30" s="23"/>
      <c r="S30" s="24"/>
      <c r="T30" s="108"/>
      <c r="U30" s="108"/>
      <c r="V30" s="108"/>
      <c r="W30" s="108"/>
      <c r="X30" s="108"/>
      <c r="Y30" s="108"/>
      <c r="AC30" s="1">
        <v>6450</v>
      </c>
    </row>
    <row r="31" spans="1:29" ht="20.25" customHeight="1" x14ac:dyDescent="0.2">
      <c r="A31" s="25">
        <v>0.36805555555555503</v>
      </c>
      <c r="B31" s="25">
        <v>0.70138888888888895</v>
      </c>
      <c r="C31" s="26">
        <v>1.0347222222222201</v>
      </c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23"/>
      <c r="S31" s="24"/>
      <c r="T31" s="108"/>
      <c r="U31" s="108"/>
      <c r="V31" s="108"/>
      <c r="W31" s="108"/>
      <c r="X31" s="108"/>
      <c r="Y31" s="108"/>
      <c r="AC31" s="1" t="s">
        <v>42</v>
      </c>
    </row>
    <row r="32" spans="1:29" ht="20.25" customHeight="1" x14ac:dyDescent="0.2">
      <c r="A32" s="18">
        <v>0.375</v>
      </c>
      <c r="B32" s="18">
        <v>0.70833333333333304</v>
      </c>
      <c r="C32" s="19">
        <v>1.0416666666666701</v>
      </c>
      <c r="D32" s="27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9"/>
      <c r="R32" s="23"/>
      <c r="S32" s="24"/>
      <c r="T32" s="108"/>
      <c r="U32" s="108"/>
      <c r="V32" s="108"/>
      <c r="W32" s="108"/>
      <c r="X32" s="108"/>
      <c r="Y32" s="108"/>
      <c r="AC32" s="1" t="s">
        <v>43</v>
      </c>
    </row>
    <row r="33" spans="1:29" ht="20.25" customHeight="1" x14ac:dyDescent="0.2">
      <c r="A33" s="25">
        <v>0.38194444444444398</v>
      </c>
      <c r="B33" s="25">
        <v>0.71527777777777701</v>
      </c>
      <c r="C33" s="26">
        <v>1.0486111111111101</v>
      </c>
      <c r="D33" s="27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9"/>
      <c r="R33" s="23"/>
      <c r="S33" s="24"/>
      <c r="T33" s="108"/>
      <c r="U33" s="108"/>
      <c r="V33" s="108"/>
      <c r="W33" s="108"/>
      <c r="X33" s="108"/>
      <c r="Y33" s="108"/>
      <c r="AC33" s="1" t="s">
        <v>44</v>
      </c>
    </row>
    <row r="34" spans="1:29" ht="20.25" customHeight="1" x14ac:dyDescent="0.2">
      <c r="A34" s="25">
        <v>0.38888888888888901</v>
      </c>
      <c r="B34" s="25">
        <v>0.72222222222222199</v>
      </c>
      <c r="C34" s="26">
        <v>1.05555555555556</v>
      </c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9"/>
      <c r="R34" s="23"/>
      <c r="S34" s="24"/>
      <c r="T34" s="108"/>
      <c r="U34" s="108"/>
      <c r="V34" s="108"/>
      <c r="W34" s="108"/>
      <c r="X34" s="108"/>
      <c r="Y34" s="108"/>
      <c r="AC34" s="1" t="s">
        <v>45</v>
      </c>
    </row>
    <row r="35" spans="1:29" ht="20.25" customHeight="1" x14ac:dyDescent="0.2">
      <c r="A35" s="25">
        <v>0.39583333333333298</v>
      </c>
      <c r="B35" s="25">
        <v>0.72916666666666596</v>
      </c>
      <c r="C35" s="26">
        <v>1.0625</v>
      </c>
      <c r="D35" s="27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9"/>
      <c r="R35" s="23"/>
      <c r="S35" s="24"/>
      <c r="T35" s="108"/>
      <c r="U35" s="108"/>
      <c r="V35" s="108"/>
      <c r="W35" s="108"/>
      <c r="X35" s="108"/>
      <c r="Y35" s="108"/>
      <c r="AC35" s="1" t="s">
        <v>46</v>
      </c>
    </row>
    <row r="36" spans="1:29" ht="20.25" customHeight="1" x14ac:dyDescent="0.2">
      <c r="A36" s="25">
        <v>0.40277777777777801</v>
      </c>
      <c r="B36" s="25">
        <v>0.73611111111111105</v>
      </c>
      <c r="C36" s="26">
        <v>1.06944444444445</v>
      </c>
      <c r="D36" s="27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9"/>
      <c r="R36" s="23"/>
      <c r="S36" s="24"/>
      <c r="T36" s="108"/>
      <c r="U36" s="108"/>
      <c r="V36" s="108"/>
      <c r="W36" s="108"/>
      <c r="X36" s="108"/>
      <c r="Y36" s="108"/>
      <c r="AC36" s="1" t="s">
        <v>47</v>
      </c>
    </row>
    <row r="37" spans="1:29" ht="20.25" customHeight="1" x14ac:dyDescent="0.2">
      <c r="A37" s="25">
        <v>0.40972222222222199</v>
      </c>
      <c r="B37" s="25">
        <v>0.74305555555555503</v>
      </c>
      <c r="C37" s="26">
        <v>1.0763888888888899</v>
      </c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9"/>
      <c r="R37" s="23"/>
      <c r="S37" s="24"/>
      <c r="T37" s="108"/>
      <c r="U37" s="108"/>
      <c r="V37" s="108"/>
      <c r="W37" s="108"/>
      <c r="X37" s="108"/>
      <c r="Y37" s="108"/>
      <c r="AC37" s="1" t="s">
        <v>48</v>
      </c>
    </row>
    <row r="38" spans="1:29" ht="20.25" customHeight="1" x14ac:dyDescent="0.2">
      <c r="A38" s="18">
        <v>0.41666666666666602</v>
      </c>
      <c r="B38" s="18">
        <v>0.75</v>
      </c>
      <c r="C38" s="19">
        <v>1.0833333333333399</v>
      </c>
      <c r="D38" s="27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9"/>
      <c r="R38" s="23"/>
      <c r="S38" s="24"/>
      <c r="T38" s="108"/>
      <c r="U38" s="108"/>
      <c r="V38" s="108"/>
      <c r="W38" s="108"/>
      <c r="X38" s="108"/>
      <c r="Y38" s="108"/>
      <c r="AC38" s="1" t="s">
        <v>49</v>
      </c>
    </row>
    <row r="39" spans="1:29" ht="20.25" customHeight="1" x14ac:dyDescent="0.2">
      <c r="A39" s="25">
        <v>0.42361111111111099</v>
      </c>
      <c r="B39" s="25">
        <v>0.75694444444444398</v>
      </c>
      <c r="C39" s="26">
        <v>1.0902777777777799</v>
      </c>
      <c r="D39" s="27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9"/>
      <c r="R39" s="23"/>
      <c r="S39" s="24"/>
      <c r="T39" s="108"/>
      <c r="U39" s="108"/>
      <c r="V39" s="108"/>
      <c r="W39" s="108"/>
      <c r="X39" s="108"/>
      <c r="Y39" s="108"/>
      <c r="AC39" s="1">
        <v>6520</v>
      </c>
    </row>
    <row r="40" spans="1:29" ht="20.25" customHeight="1" x14ac:dyDescent="0.2">
      <c r="A40" s="25">
        <v>0.43055555555555503</v>
      </c>
      <c r="B40" s="25">
        <v>0.76388888888888795</v>
      </c>
      <c r="C40" s="26">
        <v>1.0972222222222201</v>
      </c>
      <c r="D40" s="27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9"/>
      <c r="R40" s="23"/>
      <c r="S40" s="24"/>
      <c r="T40" s="108"/>
      <c r="U40" s="108"/>
      <c r="V40" s="108"/>
      <c r="W40" s="108"/>
      <c r="X40" s="108"/>
      <c r="Y40" s="108"/>
      <c r="AC40" s="1" t="s">
        <v>50</v>
      </c>
    </row>
    <row r="41" spans="1:29" ht="20.25" customHeight="1" x14ac:dyDescent="0.2">
      <c r="A41" s="25">
        <v>0.4375</v>
      </c>
      <c r="B41" s="25">
        <v>0.77083333333333304</v>
      </c>
      <c r="C41" s="26">
        <v>1.1041666666666701</v>
      </c>
      <c r="D41" s="27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9"/>
      <c r="R41" s="23"/>
      <c r="S41" s="24"/>
      <c r="T41" s="108"/>
      <c r="U41" s="108"/>
      <c r="V41" s="108"/>
      <c r="W41" s="108"/>
      <c r="X41" s="108"/>
      <c r="Y41" s="108"/>
      <c r="AC41" s="1" t="s">
        <v>51</v>
      </c>
    </row>
    <row r="42" spans="1:29" ht="20.25" customHeight="1" x14ac:dyDescent="0.2">
      <c r="A42" s="25">
        <v>0.44444444444444398</v>
      </c>
      <c r="B42" s="25">
        <v>0.77777777777777701</v>
      </c>
      <c r="C42" s="26">
        <v>1.1111111111111101</v>
      </c>
      <c r="D42" s="27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9"/>
      <c r="R42" s="23"/>
      <c r="S42" s="24"/>
      <c r="T42" s="108"/>
      <c r="U42" s="108"/>
      <c r="V42" s="108"/>
      <c r="W42" s="108"/>
      <c r="X42" s="108"/>
      <c r="Y42" s="108"/>
      <c r="AC42" s="1" t="s">
        <v>52</v>
      </c>
    </row>
    <row r="43" spans="1:29" ht="20.25" customHeight="1" x14ac:dyDescent="0.2">
      <c r="A43" s="25">
        <v>0.45138888888888901</v>
      </c>
      <c r="B43" s="25">
        <v>0.78472222222222199</v>
      </c>
      <c r="C43" s="26">
        <v>1.11805555555556</v>
      </c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9"/>
      <c r="R43" s="23"/>
      <c r="S43" s="24"/>
      <c r="T43" s="108"/>
      <c r="U43" s="108"/>
      <c r="V43" s="108"/>
      <c r="W43" s="108"/>
      <c r="X43" s="108"/>
      <c r="Y43" s="108"/>
      <c r="AC43" s="1" t="s">
        <v>53</v>
      </c>
    </row>
    <row r="44" spans="1:29" ht="20.25" customHeight="1" x14ac:dyDescent="0.2">
      <c r="A44" s="18">
        <v>0.45833333333333298</v>
      </c>
      <c r="B44" s="18">
        <v>0.79166666666666596</v>
      </c>
      <c r="C44" s="19">
        <v>1.125</v>
      </c>
      <c r="D44" s="27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9"/>
      <c r="R44" s="23"/>
      <c r="S44" s="24"/>
      <c r="T44" s="108"/>
      <c r="U44" s="108"/>
      <c r="V44" s="108"/>
      <c r="W44" s="108"/>
      <c r="X44" s="108"/>
      <c r="Y44" s="108"/>
      <c r="AC44" s="1" t="s">
        <v>54</v>
      </c>
    </row>
    <row r="45" spans="1:29" ht="20.25" customHeight="1" x14ac:dyDescent="0.2">
      <c r="A45" s="25">
        <v>0.46527777777777801</v>
      </c>
      <c r="B45" s="25">
        <v>0.79861111111111105</v>
      </c>
      <c r="C45" s="26">
        <v>1.13194444444445</v>
      </c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9"/>
      <c r="R45" s="23"/>
      <c r="S45" s="24"/>
      <c r="T45" s="108"/>
      <c r="U45" s="108"/>
      <c r="V45" s="108"/>
      <c r="W45" s="108"/>
      <c r="X45" s="108"/>
      <c r="Y45" s="108"/>
      <c r="AC45" s="1" t="s">
        <v>55</v>
      </c>
    </row>
    <row r="46" spans="1:29" ht="20.25" customHeight="1" x14ac:dyDescent="0.2">
      <c r="A46" s="25">
        <v>0.47222222222222199</v>
      </c>
      <c r="B46" s="25">
        <v>0.80555555555555503</v>
      </c>
      <c r="C46" s="26">
        <v>1.1388888888888899</v>
      </c>
      <c r="D46" s="27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9"/>
      <c r="R46" s="23"/>
      <c r="S46" s="24"/>
      <c r="T46" s="108"/>
      <c r="U46" s="108"/>
      <c r="V46" s="108"/>
      <c r="W46" s="108"/>
      <c r="X46" s="108"/>
      <c r="Y46" s="108"/>
      <c r="AC46" s="1">
        <v>6740</v>
      </c>
    </row>
    <row r="47" spans="1:29" ht="20.25" customHeight="1" x14ac:dyDescent="0.2">
      <c r="A47" s="25">
        <v>0.47916666666666602</v>
      </c>
      <c r="B47" s="25">
        <v>0.812499999999999</v>
      </c>
      <c r="C47" s="26">
        <v>1.1458333333333399</v>
      </c>
      <c r="D47" s="27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9"/>
      <c r="R47" s="23"/>
      <c r="S47" s="24"/>
      <c r="T47" s="108"/>
      <c r="U47" s="108"/>
      <c r="V47" s="108"/>
      <c r="W47" s="108"/>
      <c r="X47" s="108"/>
      <c r="Y47" s="108"/>
      <c r="AC47" s="1">
        <v>7920</v>
      </c>
    </row>
    <row r="48" spans="1:29" ht="20.25" customHeight="1" x14ac:dyDescent="0.2">
      <c r="A48" s="25">
        <v>0.48611111111111099</v>
      </c>
      <c r="B48" s="25">
        <v>0.81944444444444398</v>
      </c>
      <c r="C48" s="26">
        <v>1.1527777777777799</v>
      </c>
      <c r="D48" s="27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9"/>
      <c r="R48" s="23"/>
      <c r="S48" s="24"/>
      <c r="T48" s="108"/>
      <c r="U48" s="108"/>
      <c r="V48" s="108"/>
      <c r="W48" s="108"/>
      <c r="X48" s="108"/>
      <c r="Y48" s="108"/>
      <c r="AC48" s="1" t="s">
        <v>56</v>
      </c>
    </row>
    <row r="49" spans="1:29" ht="20.25" customHeight="1" x14ac:dyDescent="0.2">
      <c r="A49" s="25">
        <v>0.49305555555555503</v>
      </c>
      <c r="B49" s="25">
        <v>0.82638888888888795</v>
      </c>
      <c r="C49" s="26">
        <v>1.1597222222222301</v>
      </c>
      <c r="D49" s="27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9"/>
      <c r="R49" s="23"/>
      <c r="S49" s="24"/>
      <c r="T49" s="123"/>
      <c r="U49" s="123"/>
      <c r="V49" s="123"/>
      <c r="W49" s="123"/>
      <c r="X49" s="123"/>
      <c r="Y49" s="123"/>
      <c r="AC49" s="1" t="s">
        <v>57</v>
      </c>
    </row>
    <row r="50" spans="1:29" ht="20.25" customHeight="1" x14ac:dyDescent="0.2">
      <c r="A50" s="18">
        <v>0.5</v>
      </c>
      <c r="B50" s="18">
        <v>0.83333333333333304</v>
      </c>
      <c r="C50" s="19">
        <v>1.1666666666666701</v>
      </c>
      <c r="D50" s="27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9"/>
      <c r="R50" s="23"/>
      <c r="S50" s="24"/>
      <c r="T50" s="108"/>
      <c r="U50" s="108"/>
      <c r="V50" s="108"/>
      <c r="W50" s="108"/>
      <c r="X50" s="108"/>
      <c r="Y50" s="108"/>
    </row>
    <row r="51" spans="1:29" ht="20.25" customHeight="1" x14ac:dyDescent="0.2">
      <c r="A51" s="25">
        <v>0.50694444444444398</v>
      </c>
      <c r="B51" s="25">
        <v>0.84027777777777701</v>
      </c>
      <c r="C51" s="26">
        <v>1.1736111111111101</v>
      </c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9"/>
      <c r="R51" s="23"/>
      <c r="S51" s="24"/>
      <c r="T51" s="108"/>
      <c r="U51" s="108"/>
      <c r="V51" s="108"/>
      <c r="W51" s="108"/>
      <c r="X51" s="108"/>
      <c r="Y51" s="108"/>
    </row>
    <row r="52" spans="1:29" ht="20.25" customHeight="1" x14ac:dyDescent="0.2">
      <c r="A52" s="25">
        <v>0.51388888888888895</v>
      </c>
      <c r="B52" s="25">
        <v>0.84722222222222099</v>
      </c>
      <c r="C52" s="26">
        <v>1.18055555555556</v>
      </c>
      <c r="D52" s="27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9"/>
      <c r="R52" s="23"/>
      <c r="S52" s="24"/>
      <c r="T52" s="108"/>
      <c r="U52" s="108"/>
      <c r="V52" s="108"/>
      <c r="W52" s="108"/>
      <c r="X52" s="108"/>
      <c r="Y52" s="108"/>
    </row>
    <row r="53" spans="1:29" ht="20.25" customHeight="1" x14ac:dyDescent="0.2">
      <c r="A53" s="25">
        <v>0.52083333333333304</v>
      </c>
      <c r="B53" s="25">
        <v>0.85416666666666596</v>
      </c>
      <c r="C53" s="26">
        <v>1.1875</v>
      </c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9"/>
      <c r="R53" s="23"/>
      <c r="S53" s="24"/>
      <c r="T53" s="108"/>
      <c r="U53" s="108"/>
      <c r="V53" s="108"/>
      <c r="W53" s="108"/>
      <c r="X53" s="108"/>
      <c r="Y53" s="108"/>
    </row>
    <row r="54" spans="1:29" ht="20.25" customHeight="1" x14ac:dyDescent="0.2">
      <c r="A54" s="25">
        <v>0.52777777777777801</v>
      </c>
      <c r="B54" s="25">
        <v>0.86111111111111005</v>
      </c>
      <c r="C54" s="26">
        <v>1.19444444444445</v>
      </c>
      <c r="D54" s="27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9"/>
      <c r="R54" s="23"/>
      <c r="S54" s="24"/>
      <c r="T54" s="108"/>
      <c r="U54" s="108"/>
      <c r="V54" s="108"/>
      <c r="W54" s="108"/>
      <c r="X54" s="108"/>
      <c r="Y54" s="108"/>
    </row>
    <row r="55" spans="1:29" ht="20.25" customHeight="1" x14ac:dyDescent="0.2">
      <c r="A55" s="25">
        <v>0.53472222222222199</v>
      </c>
      <c r="B55" s="25">
        <v>0.86805555555555503</v>
      </c>
      <c r="C55" s="26">
        <v>1.2013888888888899</v>
      </c>
      <c r="D55" s="27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9"/>
      <c r="R55" s="23"/>
      <c r="S55" s="24"/>
      <c r="T55" s="108"/>
      <c r="U55" s="108"/>
      <c r="V55" s="108"/>
      <c r="W55" s="108"/>
      <c r="X55" s="108"/>
      <c r="Y55" s="108"/>
    </row>
    <row r="56" spans="1:29" ht="20.25" customHeight="1" x14ac:dyDescent="0.2">
      <c r="A56" s="18">
        <v>0.54166666666666596</v>
      </c>
      <c r="B56" s="18">
        <v>0.874999999999999</v>
      </c>
      <c r="C56" s="19">
        <v>1.2083333333333399</v>
      </c>
      <c r="D56" s="30"/>
      <c r="E56" s="31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2"/>
      <c r="Q56" s="33"/>
      <c r="R56" s="23"/>
      <c r="S56" s="24"/>
      <c r="T56" s="108"/>
      <c r="U56" s="108"/>
      <c r="V56" s="108"/>
      <c r="W56" s="108"/>
      <c r="X56" s="108"/>
      <c r="Y56" s="108"/>
    </row>
    <row r="57" spans="1:29" ht="25.15" customHeight="1" x14ac:dyDescent="0.2">
      <c r="A57" s="119" t="s">
        <v>58</v>
      </c>
      <c r="B57" s="120"/>
      <c r="C57" s="120"/>
      <c r="D57" s="121"/>
      <c r="E57" s="34">
        <f t="shared" ref="E57:R57" si="0">SUMIF(E8:E56,1)*10</f>
        <v>0</v>
      </c>
      <c r="F57" s="34">
        <f t="shared" si="0"/>
        <v>0</v>
      </c>
      <c r="G57" s="34">
        <f t="shared" si="0"/>
        <v>0</v>
      </c>
      <c r="H57" s="34">
        <f t="shared" si="0"/>
        <v>0</v>
      </c>
      <c r="I57" s="34">
        <f t="shared" si="0"/>
        <v>0</v>
      </c>
      <c r="J57" s="34">
        <f t="shared" si="0"/>
        <v>0</v>
      </c>
      <c r="K57" s="34">
        <f t="shared" si="0"/>
        <v>0</v>
      </c>
      <c r="L57" s="34">
        <f t="shared" si="0"/>
        <v>0</v>
      </c>
      <c r="M57" s="34">
        <f t="shared" si="0"/>
        <v>0</v>
      </c>
      <c r="N57" s="34">
        <f t="shared" si="0"/>
        <v>0</v>
      </c>
      <c r="O57" s="34">
        <f t="shared" si="0"/>
        <v>0</v>
      </c>
      <c r="P57" s="34">
        <f t="shared" si="0"/>
        <v>0</v>
      </c>
      <c r="Q57" s="34">
        <f t="shared" si="0"/>
        <v>0</v>
      </c>
      <c r="R57" s="34">
        <f t="shared" si="0"/>
        <v>0</v>
      </c>
      <c r="S57" s="35"/>
      <c r="T57" s="122"/>
      <c r="U57" s="122"/>
      <c r="V57" s="122"/>
      <c r="W57" s="122"/>
      <c r="X57" s="122"/>
      <c r="Y57" s="122"/>
    </row>
    <row r="58" spans="1:29" ht="25.9" customHeight="1" x14ac:dyDescent="0.2">
      <c r="A58" s="119" t="s">
        <v>59</v>
      </c>
      <c r="B58" s="120"/>
      <c r="C58" s="120"/>
      <c r="D58" s="120"/>
      <c r="E58" s="120"/>
      <c r="F58" s="124"/>
      <c r="G58" s="125" t="str">
        <f>SUM(E57:P57) &amp; " Min"</f>
        <v>0 Min</v>
      </c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7"/>
      <c r="S58" s="36" t="str">
        <f>"Laufzeit A = B - C                                  "&amp;(480-SUM(E57:P57)&amp;" Min")</f>
        <v>Laufzeit A = B - C                                  480 Min</v>
      </c>
      <c r="T58" s="128"/>
      <c r="U58" s="128"/>
      <c r="V58" s="128"/>
      <c r="W58" s="128"/>
      <c r="X58" s="128"/>
      <c r="Y58" s="128"/>
    </row>
    <row r="59" spans="1:29" ht="9.75" customHeight="1" x14ac:dyDescent="0.2">
      <c r="A59" s="37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118"/>
      <c r="U59" s="118"/>
      <c r="V59" s="118"/>
      <c r="W59" s="118"/>
      <c r="X59" s="118"/>
      <c r="Y59" s="118"/>
    </row>
    <row r="60" spans="1:29" ht="13.15" customHeight="1" x14ac:dyDescent="0.2">
      <c r="A60" s="129" t="s">
        <v>60</v>
      </c>
      <c r="B60" s="130"/>
      <c r="C60" s="131"/>
      <c r="D60" s="129" t="s">
        <v>61</v>
      </c>
      <c r="E60" s="130"/>
      <c r="F60" s="130"/>
      <c r="G60" s="131"/>
      <c r="H60" s="129" t="s">
        <v>62</v>
      </c>
      <c r="I60" s="130"/>
      <c r="J60" s="130"/>
      <c r="K60" s="130"/>
      <c r="L60" s="131"/>
      <c r="M60" s="129" t="s">
        <v>63</v>
      </c>
      <c r="N60" s="130"/>
      <c r="O60" s="130"/>
      <c r="P60" s="130"/>
      <c r="Q60" s="130"/>
      <c r="R60" s="131"/>
      <c r="S60" s="39" t="s">
        <v>64</v>
      </c>
      <c r="T60" s="132" t="s">
        <v>65</v>
      </c>
      <c r="U60" s="133"/>
      <c r="V60" s="133"/>
      <c r="W60" s="133"/>
      <c r="X60" s="133"/>
      <c r="Y60" s="134"/>
    </row>
    <row r="61" spans="1:29" ht="18" customHeight="1" x14ac:dyDescent="0.2">
      <c r="A61" s="135"/>
      <c r="B61" s="136"/>
      <c r="C61" s="137"/>
      <c r="D61" s="138"/>
      <c r="E61" s="139"/>
      <c r="F61" s="139"/>
      <c r="G61" s="140"/>
      <c r="H61" s="138"/>
      <c r="I61" s="139"/>
      <c r="J61" s="139"/>
      <c r="K61" s="139"/>
      <c r="L61" s="140"/>
      <c r="M61" s="138"/>
      <c r="N61" s="139"/>
      <c r="O61" s="139"/>
      <c r="P61" s="139"/>
      <c r="Q61" s="139"/>
      <c r="R61" s="140"/>
      <c r="S61" s="40">
        <f>SUM(M61*(D61+H61))</f>
        <v>0</v>
      </c>
      <c r="T61" s="141" t="s">
        <v>66</v>
      </c>
      <c r="U61" s="142"/>
      <c r="V61" s="142"/>
      <c r="W61" s="142"/>
      <c r="X61" s="142"/>
      <c r="Y61" s="143"/>
    </row>
    <row r="62" spans="1:29" ht="18" customHeight="1" x14ac:dyDescent="0.2">
      <c r="A62" s="135"/>
      <c r="B62" s="136"/>
      <c r="C62" s="137"/>
      <c r="D62" s="138"/>
      <c r="E62" s="139"/>
      <c r="F62" s="139"/>
      <c r="G62" s="139"/>
      <c r="H62" s="138"/>
      <c r="I62" s="139"/>
      <c r="J62" s="139"/>
      <c r="K62" s="139"/>
      <c r="L62" s="140"/>
      <c r="M62" s="138"/>
      <c r="N62" s="139"/>
      <c r="O62" s="139"/>
      <c r="P62" s="139"/>
      <c r="Q62" s="139"/>
      <c r="R62" s="140"/>
      <c r="S62" s="40">
        <f t="shared" ref="S62:S74" si="1">SUM(M62*(D62+H62))</f>
        <v>0</v>
      </c>
      <c r="T62" s="144">
        <f>(480-SUM(E57:P57))/480</f>
        <v>1</v>
      </c>
      <c r="U62" s="145"/>
      <c r="V62" s="145"/>
      <c r="W62" s="145"/>
      <c r="X62" s="145"/>
      <c r="Y62" s="146"/>
    </row>
    <row r="63" spans="1:29" ht="18" customHeight="1" x14ac:dyDescent="0.2">
      <c r="A63" s="135"/>
      <c r="B63" s="136"/>
      <c r="C63" s="137"/>
      <c r="D63" s="138"/>
      <c r="E63" s="139"/>
      <c r="F63" s="139"/>
      <c r="G63" s="140"/>
      <c r="H63" s="147"/>
      <c r="I63" s="148"/>
      <c r="J63" s="148"/>
      <c r="K63" s="148"/>
      <c r="L63" s="149"/>
      <c r="M63" s="138"/>
      <c r="N63" s="139"/>
      <c r="O63" s="139"/>
      <c r="P63" s="139"/>
      <c r="Q63" s="139"/>
      <c r="R63" s="140"/>
      <c r="S63" s="40">
        <f t="shared" si="1"/>
        <v>0</v>
      </c>
      <c r="T63" s="150"/>
      <c r="U63" s="151"/>
      <c r="V63" s="151"/>
      <c r="W63" s="151"/>
      <c r="X63" s="151"/>
      <c r="Y63" s="152"/>
    </row>
    <row r="64" spans="1:29" ht="18" customHeight="1" x14ac:dyDescent="0.2">
      <c r="A64" s="135"/>
      <c r="B64" s="136"/>
      <c r="C64" s="137"/>
      <c r="D64" s="153"/>
      <c r="E64" s="139"/>
      <c r="F64" s="139"/>
      <c r="G64" s="140"/>
      <c r="H64" s="138"/>
      <c r="I64" s="139"/>
      <c r="J64" s="139"/>
      <c r="K64" s="139"/>
      <c r="L64" s="140"/>
      <c r="M64" s="138"/>
      <c r="N64" s="139"/>
      <c r="O64" s="139"/>
      <c r="P64" s="139"/>
      <c r="Q64" s="139"/>
      <c r="R64" s="140"/>
      <c r="S64" s="40">
        <f t="shared" si="1"/>
        <v>0</v>
      </c>
      <c r="T64" s="141" t="s">
        <v>67</v>
      </c>
      <c r="U64" s="142"/>
      <c r="V64" s="142"/>
      <c r="W64" s="142"/>
      <c r="X64" s="142"/>
      <c r="Y64" s="143"/>
    </row>
    <row r="65" spans="1:25" ht="18" customHeight="1" x14ac:dyDescent="0.2">
      <c r="A65" s="135"/>
      <c r="B65" s="136"/>
      <c r="C65" s="137"/>
      <c r="D65" s="138"/>
      <c r="E65" s="139"/>
      <c r="F65" s="139"/>
      <c r="G65" s="140"/>
      <c r="H65" s="138"/>
      <c r="I65" s="139"/>
      <c r="J65" s="139"/>
      <c r="K65" s="139"/>
      <c r="L65" s="140"/>
      <c r="M65" s="138"/>
      <c r="N65" s="139"/>
      <c r="O65" s="139"/>
      <c r="P65" s="139"/>
      <c r="Q65" s="139"/>
      <c r="R65" s="140"/>
      <c r="S65" s="40">
        <f t="shared" si="1"/>
        <v>0</v>
      </c>
      <c r="T65" s="144">
        <f>auftrag_zeit/(480-SUM(E57:P57))</f>
        <v>0</v>
      </c>
      <c r="U65" s="145"/>
      <c r="V65" s="145"/>
      <c r="W65" s="145"/>
      <c r="X65" s="145"/>
      <c r="Y65" s="146"/>
    </row>
    <row r="66" spans="1:25" ht="18" customHeight="1" x14ac:dyDescent="0.2">
      <c r="A66" s="135"/>
      <c r="B66" s="136"/>
      <c r="C66" s="137"/>
      <c r="D66" s="138"/>
      <c r="E66" s="139"/>
      <c r="F66" s="139"/>
      <c r="G66" s="140"/>
      <c r="H66" s="138"/>
      <c r="I66" s="139"/>
      <c r="J66" s="139"/>
      <c r="K66" s="139"/>
      <c r="L66" s="140"/>
      <c r="M66" s="138"/>
      <c r="N66" s="139"/>
      <c r="O66" s="139"/>
      <c r="P66" s="139"/>
      <c r="Q66" s="139"/>
      <c r="R66" s="140"/>
      <c r="S66" s="40">
        <f t="shared" si="1"/>
        <v>0</v>
      </c>
      <c r="T66" s="150"/>
      <c r="U66" s="151"/>
      <c r="V66" s="151"/>
      <c r="W66" s="151"/>
      <c r="X66" s="151"/>
      <c r="Y66" s="152"/>
    </row>
    <row r="67" spans="1:25" ht="18" customHeight="1" x14ac:dyDescent="0.2">
      <c r="A67" s="135"/>
      <c r="B67" s="136"/>
      <c r="C67" s="137"/>
      <c r="D67" s="138"/>
      <c r="E67" s="139"/>
      <c r="F67" s="139"/>
      <c r="G67" s="140"/>
      <c r="H67" s="138"/>
      <c r="I67" s="139"/>
      <c r="J67" s="139"/>
      <c r="K67" s="139"/>
      <c r="L67" s="140"/>
      <c r="M67" s="138"/>
      <c r="N67" s="139"/>
      <c r="O67" s="139"/>
      <c r="P67" s="139"/>
      <c r="Q67" s="139"/>
      <c r="R67" s="140"/>
      <c r="S67" s="40">
        <f t="shared" si="1"/>
        <v>0</v>
      </c>
      <c r="T67" s="154" t="s">
        <v>68</v>
      </c>
      <c r="U67" s="155"/>
      <c r="V67" s="155"/>
      <c r="W67" s="155"/>
      <c r="X67" s="155"/>
      <c r="Y67" s="156"/>
    </row>
    <row r="68" spans="1:25" ht="18" customHeight="1" x14ac:dyDescent="0.2">
      <c r="A68" s="135"/>
      <c r="B68" s="136"/>
      <c r="C68" s="137"/>
      <c r="D68" s="138"/>
      <c r="E68" s="139"/>
      <c r="F68" s="139"/>
      <c r="G68" s="140"/>
      <c r="H68" s="138"/>
      <c r="I68" s="139"/>
      <c r="J68" s="139"/>
      <c r="K68" s="139"/>
      <c r="L68" s="140"/>
      <c r="M68" s="138"/>
      <c r="N68" s="139"/>
      <c r="O68" s="139"/>
      <c r="P68" s="139"/>
      <c r="Q68" s="139"/>
      <c r="R68" s="140"/>
      <c r="S68" s="40">
        <f t="shared" si="1"/>
        <v>0</v>
      </c>
      <c r="T68" s="144">
        <f>IFERROR(sum_gutteile/(sum_gutteile+sum_ausschuss),0)</f>
        <v>0</v>
      </c>
      <c r="U68" s="145"/>
      <c r="V68" s="145"/>
      <c r="W68" s="145"/>
      <c r="X68" s="145"/>
      <c r="Y68" s="146"/>
    </row>
    <row r="69" spans="1:25" ht="18" customHeight="1" x14ac:dyDescent="0.2">
      <c r="A69" s="135"/>
      <c r="B69" s="136"/>
      <c r="C69" s="137"/>
      <c r="D69" s="138"/>
      <c r="E69" s="139"/>
      <c r="F69" s="139"/>
      <c r="G69" s="140"/>
      <c r="H69" s="138"/>
      <c r="I69" s="139"/>
      <c r="J69" s="139"/>
      <c r="K69" s="139"/>
      <c r="L69" s="140"/>
      <c r="M69" s="138"/>
      <c r="N69" s="139"/>
      <c r="O69" s="139"/>
      <c r="P69" s="139"/>
      <c r="Q69" s="139"/>
      <c r="R69" s="140"/>
      <c r="S69" s="40">
        <f t="shared" si="1"/>
        <v>0</v>
      </c>
      <c r="T69" s="154"/>
      <c r="U69" s="155"/>
      <c r="V69" s="155"/>
      <c r="W69" s="155"/>
      <c r="X69" s="155"/>
      <c r="Y69" s="156"/>
    </row>
    <row r="70" spans="1:25" ht="18" customHeight="1" x14ac:dyDescent="0.2">
      <c r="A70" s="135"/>
      <c r="B70" s="136"/>
      <c r="C70" s="137"/>
      <c r="D70" s="138"/>
      <c r="E70" s="139"/>
      <c r="F70" s="139"/>
      <c r="G70" s="140"/>
      <c r="H70" s="138"/>
      <c r="I70" s="139"/>
      <c r="J70" s="139"/>
      <c r="K70" s="139"/>
      <c r="L70" s="140"/>
      <c r="M70" s="138"/>
      <c r="N70" s="139"/>
      <c r="O70" s="139"/>
      <c r="P70" s="139"/>
      <c r="Q70" s="139"/>
      <c r="R70" s="140"/>
      <c r="S70" s="40">
        <f t="shared" si="1"/>
        <v>0</v>
      </c>
      <c r="T70" s="154"/>
      <c r="U70" s="155"/>
      <c r="V70" s="155"/>
      <c r="W70" s="155"/>
      <c r="X70" s="155"/>
      <c r="Y70" s="156"/>
    </row>
    <row r="71" spans="1:25" ht="18" customHeight="1" x14ac:dyDescent="0.2">
      <c r="A71" s="135"/>
      <c r="B71" s="136"/>
      <c r="C71" s="137"/>
      <c r="D71" s="138"/>
      <c r="E71" s="139"/>
      <c r="F71" s="139"/>
      <c r="G71" s="140"/>
      <c r="H71" s="138"/>
      <c r="I71" s="139"/>
      <c r="J71" s="139"/>
      <c r="K71" s="139"/>
      <c r="L71" s="140"/>
      <c r="M71" s="138"/>
      <c r="N71" s="139"/>
      <c r="O71" s="139"/>
      <c r="P71" s="139"/>
      <c r="Q71" s="139"/>
      <c r="R71" s="140"/>
      <c r="S71" s="40">
        <f t="shared" si="1"/>
        <v>0</v>
      </c>
      <c r="T71" s="41"/>
      <c r="U71" s="42"/>
      <c r="V71" s="43" t="s">
        <v>69</v>
      </c>
      <c r="W71" s="44" t="s">
        <v>70</v>
      </c>
      <c r="X71" s="45" t="s">
        <v>71</v>
      </c>
      <c r="Y71" s="46"/>
    </row>
    <row r="72" spans="1:25" ht="18" customHeight="1" x14ac:dyDescent="0.2">
      <c r="A72" s="135"/>
      <c r="B72" s="136"/>
      <c r="C72" s="137"/>
      <c r="D72" s="138"/>
      <c r="E72" s="139"/>
      <c r="F72" s="139"/>
      <c r="G72" s="140"/>
      <c r="H72" s="138"/>
      <c r="I72" s="139"/>
      <c r="J72" s="139"/>
      <c r="K72" s="139"/>
      <c r="L72" s="140"/>
      <c r="M72" s="138"/>
      <c r="N72" s="139"/>
      <c r="O72" s="139"/>
      <c r="P72" s="139"/>
      <c r="Q72" s="139"/>
      <c r="R72" s="140"/>
      <c r="S72" s="40">
        <f t="shared" si="1"/>
        <v>0</v>
      </c>
      <c r="T72" s="47" t="s">
        <v>72</v>
      </c>
      <c r="U72" s="48" t="s">
        <v>73</v>
      </c>
      <c r="V72" s="49"/>
      <c r="W72" s="49"/>
      <c r="X72" s="49"/>
      <c r="Y72" s="46"/>
    </row>
    <row r="73" spans="1:25" ht="18" customHeight="1" x14ac:dyDescent="0.2">
      <c r="A73" s="135"/>
      <c r="B73" s="136"/>
      <c r="C73" s="137"/>
      <c r="D73" s="138"/>
      <c r="E73" s="139"/>
      <c r="F73" s="139"/>
      <c r="G73" s="140"/>
      <c r="H73" s="138"/>
      <c r="I73" s="139"/>
      <c r="J73" s="139"/>
      <c r="K73" s="139"/>
      <c r="L73" s="140"/>
      <c r="M73" s="138"/>
      <c r="N73" s="139"/>
      <c r="O73" s="139"/>
      <c r="P73" s="139"/>
      <c r="Q73" s="139"/>
      <c r="R73" s="140"/>
      <c r="S73" s="40">
        <f t="shared" si="1"/>
        <v>0</v>
      </c>
      <c r="T73" s="47" t="s">
        <v>74</v>
      </c>
      <c r="U73" s="48" t="s">
        <v>73</v>
      </c>
      <c r="V73" s="49"/>
      <c r="W73" s="49"/>
      <c r="X73" s="49"/>
      <c r="Y73" s="46"/>
    </row>
    <row r="74" spans="1:25" ht="18" customHeight="1" x14ac:dyDescent="0.2">
      <c r="A74" s="135"/>
      <c r="B74" s="136"/>
      <c r="C74" s="137"/>
      <c r="D74" s="138"/>
      <c r="E74" s="139"/>
      <c r="F74" s="139"/>
      <c r="G74" s="140"/>
      <c r="H74" s="138"/>
      <c r="I74" s="139"/>
      <c r="J74" s="139"/>
      <c r="K74" s="139"/>
      <c r="L74" s="140"/>
      <c r="M74" s="138"/>
      <c r="N74" s="139"/>
      <c r="O74" s="139"/>
      <c r="P74" s="139"/>
      <c r="Q74" s="139"/>
      <c r="R74" s="140"/>
      <c r="S74" s="40">
        <f t="shared" si="1"/>
        <v>0</v>
      </c>
      <c r="T74" s="47" t="s">
        <v>75</v>
      </c>
      <c r="U74" s="48" t="s">
        <v>73</v>
      </c>
      <c r="V74" s="49"/>
      <c r="W74" s="49"/>
      <c r="X74" s="49"/>
      <c r="Y74" s="46"/>
    </row>
    <row r="75" spans="1:25" ht="18" customHeight="1" x14ac:dyDescent="0.2">
      <c r="A75" s="157" t="s">
        <v>76</v>
      </c>
      <c r="B75" s="157"/>
      <c r="C75" s="157"/>
      <c r="D75" s="158">
        <f>SUM(D61:G74)</f>
        <v>0</v>
      </c>
      <c r="E75" s="158"/>
      <c r="F75" s="158"/>
      <c r="G75" s="158"/>
      <c r="H75" s="158">
        <f>SUM(H61:L74)</f>
        <v>0</v>
      </c>
      <c r="I75" s="158"/>
      <c r="J75" s="158"/>
      <c r="K75" s="158"/>
      <c r="L75" s="158"/>
      <c r="M75" s="158">
        <f>SUM(M61:R74)</f>
        <v>0</v>
      </c>
      <c r="N75" s="158"/>
      <c r="O75" s="158"/>
      <c r="P75" s="158"/>
      <c r="Q75" s="158"/>
      <c r="R75" s="158"/>
      <c r="S75" s="40">
        <f>SUM(S61:S74)</f>
        <v>0</v>
      </c>
      <c r="T75" s="159"/>
      <c r="U75" s="160"/>
      <c r="V75" s="160"/>
      <c r="W75" s="160"/>
      <c r="X75" s="160"/>
      <c r="Y75" s="161"/>
    </row>
    <row r="76" spans="1:25" ht="18" customHeight="1" x14ac:dyDescent="0.2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1"/>
      <c r="N76" s="51"/>
      <c r="O76" s="51"/>
      <c r="P76" s="51"/>
      <c r="Q76" s="52"/>
      <c r="R76" s="53"/>
      <c r="S76" s="54" t="s">
        <v>77</v>
      </c>
      <c r="T76" s="162">
        <f>SUM(V72:X72)*SUM(V73:X73)*SUM(V74:X74)</f>
        <v>0</v>
      </c>
      <c r="U76" s="163"/>
      <c r="V76" s="163"/>
      <c r="W76" s="163"/>
      <c r="X76" s="163"/>
      <c r="Y76" s="164"/>
    </row>
    <row r="77" spans="1:25" ht="15" customHeight="1" x14ac:dyDescent="0.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0"/>
      <c r="R77" s="53"/>
      <c r="S77" s="53"/>
      <c r="T77" s="53"/>
    </row>
    <row r="78" spans="1:25" ht="13.15" hidden="1" customHeight="1" x14ac:dyDescent="0.2">
      <c r="A78" s="1"/>
    </row>
    <row r="79" spans="1:25" hidden="1" x14ac:dyDescent="0.2">
      <c r="A79" s="1"/>
    </row>
    <row r="80" spans="1:25" hidden="1" x14ac:dyDescent="0.2">
      <c r="A80" s="1"/>
    </row>
    <row r="81" spans="1:1" hidden="1" x14ac:dyDescent="0.2">
      <c r="A81" s="1"/>
    </row>
    <row r="82" spans="1:1" hidden="1" x14ac:dyDescent="0.2">
      <c r="A82" s="1"/>
    </row>
    <row r="83" spans="1:1" hidden="1" x14ac:dyDescent="0.2">
      <c r="A83" s="1"/>
    </row>
    <row r="84" spans="1:1" hidden="1" x14ac:dyDescent="0.2">
      <c r="A84" s="1"/>
    </row>
    <row r="85" spans="1:1" hidden="1" x14ac:dyDescent="0.2">
      <c r="A85" s="1"/>
    </row>
  </sheetData>
  <sheetProtection algorithmName="SHA-512" hashValue="SeonVyns0IuaTHXyx7zDUDerZqFZY6jtF4FIjhRgv5TzK7BIKo1f3xgDC7254/i+CZ1QkYKFCpdr+GI8gHRftg==" saltValue="0dDuii/u9QImg2BEG+1Mqg==" spinCount="100000" sheet="1" objects="1" scenarios="1" selectLockedCells="1"/>
  <mergeCells count="142">
    <mergeCell ref="A75:C75"/>
    <mergeCell ref="D75:G75"/>
    <mergeCell ref="H75:L75"/>
    <mergeCell ref="M75:R75"/>
    <mergeCell ref="T75:Y75"/>
    <mergeCell ref="T76:Y76"/>
    <mergeCell ref="A73:C73"/>
    <mergeCell ref="D73:G73"/>
    <mergeCell ref="H73:L73"/>
    <mergeCell ref="M73:R73"/>
    <mergeCell ref="A74:C74"/>
    <mergeCell ref="D74:G74"/>
    <mergeCell ref="H74:L74"/>
    <mergeCell ref="M74:R74"/>
    <mergeCell ref="A71:C71"/>
    <mergeCell ref="D71:G71"/>
    <mergeCell ref="H71:L71"/>
    <mergeCell ref="M71:R71"/>
    <mergeCell ref="A72:C72"/>
    <mergeCell ref="D72:G72"/>
    <mergeCell ref="H72:L72"/>
    <mergeCell ref="M72:R72"/>
    <mergeCell ref="A69:C69"/>
    <mergeCell ref="D69:G69"/>
    <mergeCell ref="H69:L69"/>
    <mergeCell ref="M69:R69"/>
    <mergeCell ref="T69:Y69"/>
    <mergeCell ref="A70:C70"/>
    <mergeCell ref="D70:G70"/>
    <mergeCell ref="H70:L70"/>
    <mergeCell ref="M70:R70"/>
    <mergeCell ref="T70:Y70"/>
    <mergeCell ref="A67:C67"/>
    <mergeCell ref="D67:G67"/>
    <mergeCell ref="H67:L67"/>
    <mergeCell ref="M67:R67"/>
    <mergeCell ref="T67:Y67"/>
    <mergeCell ref="A68:C68"/>
    <mergeCell ref="D68:G68"/>
    <mergeCell ref="H68:L68"/>
    <mergeCell ref="M68:R68"/>
    <mergeCell ref="T68:Y68"/>
    <mergeCell ref="A65:C65"/>
    <mergeCell ref="D65:G65"/>
    <mergeCell ref="H65:L65"/>
    <mergeCell ref="M65:R65"/>
    <mergeCell ref="T65:Y65"/>
    <mergeCell ref="A66:C66"/>
    <mergeCell ref="D66:G66"/>
    <mergeCell ref="H66:L66"/>
    <mergeCell ref="M66:R66"/>
    <mergeCell ref="T66:Y66"/>
    <mergeCell ref="A63:C63"/>
    <mergeCell ref="D63:G63"/>
    <mergeCell ref="H63:L63"/>
    <mergeCell ref="M63:R63"/>
    <mergeCell ref="T63:Y63"/>
    <mergeCell ref="A64:C64"/>
    <mergeCell ref="D64:G64"/>
    <mergeCell ref="H64:L64"/>
    <mergeCell ref="M64:R64"/>
    <mergeCell ref="T64:Y64"/>
    <mergeCell ref="A61:C61"/>
    <mergeCell ref="D61:G61"/>
    <mergeCell ref="H61:L61"/>
    <mergeCell ref="M61:R61"/>
    <mergeCell ref="T61:Y61"/>
    <mergeCell ref="A62:C62"/>
    <mergeCell ref="D62:G62"/>
    <mergeCell ref="H62:L62"/>
    <mergeCell ref="M62:R62"/>
    <mergeCell ref="T62:Y62"/>
    <mergeCell ref="A58:F58"/>
    <mergeCell ref="G58:R58"/>
    <mergeCell ref="T58:Y58"/>
    <mergeCell ref="T59:Y59"/>
    <mergeCell ref="A60:C60"/>
    <mergeCell ref="D60:G60"/>
    <mergeCell ref="H60:L60"/>
    <mergeCell ref="M60:R60"/>
    <mergeCell ref="T60:Y60"/>
    <mergeCell ref="T52:Y52"/>
    <mergeCell ref="T53:Y53"/>
    <mergeCell ref="T54:Y54"/>
    <mergeCell ref="T55:Y55"/>
    <mergeCell ref="T56:Y56"/>
    <mergeCell ref="A57:D57"/>
    <mergeCell ref="T57:Y57"/>
    <mergeCell ref="T46:Y46"/>
    <mergeCell ref="T47:Y47"/>
    <mergeCell ref="T48:Y48"/>
    <mergeCell ref="T49:Y49"/>
    <mergeCell ref="T50:Y50"/>
    <mergeCell ref="T51:Y51"/>
    <mergeCell ref="T40:Y40"/>
    <mergeCell ref="T41:Y41"/>
    <mergeCell ref="T42:Y42"/>
    <mergeCell ref="T43:Y43"/>
    <mergeCell ref="T44:Y44"/>
    <mergeCell ref="T45:Y45"/>
    <mergeCell ref="T34:Y34"/>
    <mergeCell ref="T35:Y35"/>
    <mergeCell ref="T36:Y36"/>
    <mergeCell ref="T37:Y37"/>
    <mergeCell ref="T38:Y38"/>
    <mergeCell ref="T39:Y39"/>
    <mergeCell ref="T28:Y28"/>
    <mergeCell ref="T29:Y29"/>
    <mergeCell ref="T30:Y30"/>
    <mergeCell ref="T31:Y31"/>
    <mergeCell ref="T32:Y32"/>
    <mergeCell ref="T33:Y33"/>
    <mergeCell ref="T22:Y22"/>
    <mergeCell ref="T23:Y23"/>
    <mergeCell ref="T24:Y24"/>
    <mergeCell ref="T25:Y25"/>
    <mergeCell ref="T26:Y26"/>
    <mergeCell ref="T27:Y27"/>
    <mergeCell ref="T16:Y16"/>
    <mergeCell ref="T17:Y17"/>
    <mergeCell ref="T18:Y18"/>
    <mergeCell ref="T19:Y19"/>
    <mergeCell ref="T20:Y20"/>
    <mergeCell ref="T21:Y21"/>
    <mergeCell ref="T10:Y10"/>
    <mergeCell ref="T11:Y11"/>
    <mergeCell ref="T12:Y12"/>
    <mergeCell ref="T13:Y13"/>
    <mergeCell ref="T14:Y14"/>
    <mergeCell ref="T15:Y15"/>
    <mergeCell ref="A5:C5"/>
    <mergeCell ref="D5:R5"/>
    <mergeCell ref="S5:Y6"/>
    <mergeCell ref="T7:Y7"/>
    <mergeCell ref="T8:Y8"/>
    <mergeCell ref="T9:Y9"/>
    <mergeCell ref="A1:Y1"/>
    <mergeCell ref="A2:G2"/>
    <mergeCell ref="H2:R2"/>
    <mergeCell ref="T2:V2"/>
    <mergeCell ref="S3:Y3"/>
    <mergeCell ref="S4:Y4"/>
  </mergeCells>
  <conditionalFormatting sqref="D8:P56">
    <cfRule type="expression" dxfId="26" priority="2">
      <formula>AND(D8&gt;0,E8&gt;0)</formula>
    </cfRule>
    <cfRule type="expression" dxfId="25" priority="3">
      <formula>AND(D8&gt;0,D9=1)</formula>
    </cfRule>
    <cfRule type="cellIs" dxfId="24" priority="9" operator="greaterThan">
      <formula>0</formula>
    </cfRule>
    <cfRule type="cellIs" dxfId="23" priority="10" operator="equal">
      <formula>0</formula>
    </cfRule>
  </conditionalFormatting>
  <conditionalFormatting sqref="Q8:R56">
    <cfRule type="cellIs" dxfId="22" priority="7" operator="greaterThan">
      <formula>0</formula>
    </cfRule>
    <cfRule type="cellIs" dxfId="21" priority="8" operator="equal">
      <formula>0</formula>
    </cfRule>
  </conditionalFormatting>
  <conditionalFormatting sqref="D8:Q56">
    <cfRule type="expression" dxfId="20" priority="1">
      <formula>AND(D8&gt;0,D7=0)</formula>
    </cfRule>
    <cfRule type="expression" dxfId="19" priority="4">
      <formula>AND(D8&gt;0,D9&lt;&gt;1)</formula>
    </cfRule>
    <cfRule type="expression" dxfId="18" priority="5">
      <formula>AND(D8&gt;0,OR(C8=0,C8&gt;2))</formula>
    </cfRule>
    <cfRule type="expression" dxfId="17" priority="6">
      <formula>AND(D8&gt;0,E8=0)</formula>
    </cfRule>
  </conditionalFormatting>
  <dataValidations count="1">
    <dataValidation operator="greaterThan" allowBlank="1" showInputMessage="1" showErrorMessage="1" errorTitle="Fehler" error="Ungültiges Datum angegeben" prompt="Bitte doppelklicken um das Datum zu ändern" sqref="T2:V2"/>
  </dataValidations>
  <printOptions horizontalCentered="1" verticalCentered="1"/>
  <pageMargins left="0" right="0" top="0.62992125984251968" bottom="0" header="0.27559055118110237" footer="0"/>
  <pageSetup paperSize="8" scale="69" orientation="portrait" r:id="rId1"/>
  <headerFooter>
    <oddHeader>&amp;R&amp;G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8" r:id="rId5" name="btnHelp">
          <controlPr defaultSize="0" autoLine="0" autoPict="0" r:id="rId6">
            <anchor moveWithCells="1">
              <from>
                <xdr:col>18</xdr:col>
                <xdr:colOff>9525</xdr:colOff>
                <xdr:row>2</xdr:row>
                <xdr:rowOff>0</xdr:rowOff>
              </from>
              <to>
                <xdr:col>25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5" name="btnHelp"/>
      </mc:Fallback>
    </mc:AlternateContent>
    <mc:AlternateContent xmlns:mc="http://schemas.openxmlformats.org/markup-compatibility/2006">
      <mc:Choice Requires="x14">
        <control shapeId="1026" r:id="rId7" name="ComboBox1">
          <controlPr defaultSize="0" autoLine="0" linkedCell="H2" listFillRange="$AC$9:$AC$49" r:id="rId8">
            <anchor moveWithCells="1">
              <from>
                <xdr:col>7</xdr:col>
                <xdr:colOff>19050</xdr:colOff>
                <xdr:row>1</xdr:row>
                <xdr:rowOff>9525</xdr:rowOff>
              </from>
              <to>
                <xdr:col>18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7" name="ComboBox1"/>
      </mc:Fallback>
    </mc:AlternateContent>
    <mc:AlternateContent xmlns:mc="http://schemas.openxmlformats.org/markup-compatibility/2006">
      <mc:Choice Requires="x14">
        <control shapeId="1025" r:id="rId9" name="Input_Btn">
          <controlPr defaultSize="0" autoLine="0" r:id="rId10">
            <anchor moveWithCells="1">
              <from>
                <xdr:col>1</xdr:col>
                <xdr:colOff>57150</xdr:colOff>
                <xdr:row>0</xdr:row>
                <xdr:rowOff>161925</xdr:rowOff>
              </from>
              <to>
                <xdr:col>4</xdr:col>
                <xdr:colOff>247650</xdr:colOff>
                <xdr:row>0</xdr:row>
                <xdr:rowOff>647700</xdr:rowOff>
              </to>
            </anchor>
          </controlPr>
        </control>
      </mc:Choice>
      <mc:Fallback>
        <control shapeId="1025" r:id="rId9" name="Input_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U53"/>
  <sheetViews>
    <sheetView zoomScale="120" zoomScaleNormal="120" workbookViewId="0">
      <selection activeCell="C8" sqref="C8"/>
    </sheetView>
  </sheetViews>
  <sheetFormatPr baseColWidth="10" defaultColWidth="0" defaultRowHeight="15" zeroHeight="1" x14ac:dyDescent="0.25"/>
  <cols>
    <col min="1" max="1" width="2" style="80" customWidth="1"/>
    <col min="2" max="2" width="15.7109375" style="57" customWidth="1"/>
    <col min="3" max="3" width="14.7109375" style="57" customWidth="1"/>
    <col min="4" max="4" width="3.28515625" style="57" customWidth="1"/>
    <col min="5" max="5" width="15.7109375" style="57" customWidth="1"/>
    <col min="6" max="6" width="14.7109375" style="57" customWidth="1"/>
    <col min="7" max="7" width="3.28515625" style="57" customWidth="1"/>
    <col min="8" max="8" width="17.85546875" style="57" customWidth="1"/>
    <col min="9" max="11" width="5.28515625" style="57" customWidth="1"/>
    <col min="12" max="12" width="2.42578125" style="57" customWidth="1"/>
    <col min="13" max="18" width="11.42578125" style="57" hidden="1" customWidth="1"/>
    <col min="19" max="19" width="25.85546875" style="57" hidden="1" customWidth="1"/>
    <col min="20" max="99" width="0" style="57" hidden="1" customWidth="1"/>
    <col min="100" max="16384" width="11.42578125" style="80" hidden="1"/>
  </cols>
  <sheetData>
    <row r="1" spans="2:19" ht="34.5" customHeight="1" thickBot="1" x14ac:dyDescent="0.45">
      <c r="B1" s="56"/>
      <c r="C1" s="169" t="s">
        <v>78</v>
      </c>
      <c r="D1" s="170"/>
      <c r="E1" s="170"/>
      <c r="F1" s="170"/>
      <c r="G1" s="170"/>
      <c r="H1" s="171"/>
      <c r="I1" s="172"/>
      <c r="J1" s="173"/>
      <c r="K1" s="174"/>
    </row>
    <row r="2" spans="2:19" ht="12" customHeight="1" x14ac:dyDescent="0.25">
      <c r="B2" s="175"/>
      <c r="C2" s="176"/>
      <c r="D2" s="176"/>
      <c r="E2" s="176"/>
      <c r="F2" s="176"/>
      <c r="G2" s="176"/>
      <c r="H2" s="176"/>
      <c r="I2" s="176"/>
      <c r="J2" s="176"/>
      <c r="K2" s="177"/>
    </row>
    <row r="3" spans="2:19" ht="21" customHeight="1" x14ac:dyDescent="0.35">
      <c r="B3" s="178" t="s">
        <v>79</v>
      </c>
      <c r="C3" s="179"/>
      <c r="D3" s="179"/>
      <c r="E3" s="179"/>
      <c r="F3" s="179"/>
      <c r="G3" s="179"/>
      <c r="H3" s="179"/>
      <c r="I3" s="179"/>
      <c r="J3" s="179"/>
      <c r="K3" s="180"/>
    </row>
    <row r="4" spans="2:19" ht="12" customHeight="1" x14ac:dyDescent="0.25">
      <c r="B4" s="175"/>
      <c r="C4" s="176"/>
      <c r="D4" s="176"/>
      <c r="E4" s="176"/>
      <c r="F4" s="176"/>
      <c r="G4" s="176"/>
      <c r="H4" s="176"/>
      <c r="I4" s="176"/>
      <c r="J4" s="176"/>
      <c r="K4" s="177"/>
    </row>
    <row r="5" spans="2:19" ht="15" customHeight="1" x14ac:dyDescent="0.25">
      <c r="B5" s="58" t="s">
        <v>80</v>
      </c>
      <c r="C5" s="59" t="s">
        <v>186</v>
      </c>
      <c r="D5" s="60"/>
      <c r="E5" s="58" t="s">
        <v>82</v>
      </c>
      <c r="F5" s="61" t="s">
        <v>81</v>
      </c>
      <c r="G5" s="62"/>
      <c r="H5" s="58" t="s">
        <v>83</v>
      </c>
      <c r="I5" s="166">
        <v>5720</v>
      </c>
      <c r="J5" s="167"/>
      <c r="K5" s="168"/>
      <c r="S5" s="63"/>
    </row>
    <row r="6" spans="2:19" ht="15" customHeight="1" x14ac:dyDescent="0.25">
      <c r="B6" s="58" t="s">
        <v>84</v>
      </c>
      <c r="C6" s="99" t="s">
        <v>187</v>
      </c>
      <c r="D6" s="62"/>
      <c r="E6" s="58" t="s">
        <v>85</v>
      </c>
      <c r="F6" s="61" t="s">
        <v>81</v>
      </c>
      <c r="G6" s="62"/>
      <c r="H6" s="58" t="s">
        <v>86</v>
      </c>
      <c r="I6" s="64"/>
      <c r="J6" s="65" t="s">
        <v>87</v>
      </c>
      <c r="K6" s="64"/>
    </row>
    <row r="7" spans="2:19" ht="12" customHeight="1" x14ac:dyDescent="0.25">
      <c r="B7" s="66"/>
      <c r="C7" s="67"/>
      <c r="D7" s="67"/>
      <c r="E7" s="67"/>
      <c r="F7" s="67"/>
      <c r="G7" s="67"/>
      <c r="H7" s="67"/>
      <c r="I7" s="67"/>
      <c r="J7" s="67"/>
      <c r="K7" s="68"/>
    </row>
    <row r="8" spans="2:19" ht="15" customHeight="1" x14ac:dyDescent="0.25">
      <c r="B8" s="58" t="s">
        <v>88</v>
      </c>
      <c r="C8" s="69" t="s">
        <v>89</v>
      </c>
      <c r="D8" s="67"/>
      <c r="E8" s="181" t="s">
        <v>81</v>
      </c>
      <c r="F8" s="181"/>
      <c r="G8" s="67"/>
      <c r="H8" s="67"/>
      <c r="I8" s="67"/>
      <c r="J8" s="67"/>
      <c r="K8" s="70"/>
    </row>
    <row r="9" spans="2:19" ht="12" customHeight="1" x14ac:dyDescent="0.25">
      <c r="B9" s="66"/>
      <c r="C9" s="67"/>
      <c r="D9" s="67"/>
      <c r="E9" s="67"/>
      <c r="F9" s="67"/>
      <c r="G9" s="67"/>
      <c r="H9" s="67"/>
      <c r="I9" s="67"/>
      <c r="J9" s="67"/>
      <c r="K9" s="70"/>
    </row>
    <row r="10" spans="2:19" ht="15" customHeight="1" x14ac:dyDescent="0.25">
      <c r="B10" s="71" t="s">
        <v>90</v>
      </c>
      <c r="C10" s="72" t="s">
        <v>89</v>
      </c>
      <c r="D10" s="67"/>
      <c r="E10" s="165" t="s">
        <v>91</v>
      </c>
      <c r="F10" s="165"/>
      <c r="G10" s="165"/>
      <c r="H10" s="73" t="s">
        <v>89</v>
      </c>
      <c r="I10" s="67"/>
      <c r="J10" s="67"/>
      <c r="K10" s="70"/>
    </row>
    <row r="11" spans="2:19" ht="15" customHeight="1" x14ac:dyDescent="0.25">
      <c r="B11" s="182" t="s">
        <v>92</v>
      </c>
      <c r="C11" s="182"/>
      <c r="D11" s="182"/>
      <c r="E11" s="74" t="s">
        <v>89</v>
      </c>
      <c r="F11" s="183"/>
      <c r="G11" s="183"/>
      <c r="H11" s="176"/>
      <c r="I11" s="176"/>
      <c r="J11" s="67"/>
      <c r="K11" s="70"/>
    </row>
    <row r="12" spans="2:19" ht="15" customHeight="1" x14ac:dyDescent="0.25">
      <c r="B12" s="165" t="s">
        <v>93</v>
      </c>
      <c r="C12" s="165"/>
      <c r="D12" s="165"/>
      <c r="E12" s="166" t="s">
        <v>81</v>
      </c>
      <c r="F12" s="167"/>
      <c r="G12" s="167"/>
      <c r="H12" s="167"/>
      <c r="I12" s="167"/>
      <c r="J12" s="167"/>
      <c r="K12" s="168"/>
    </row>
    <row r="13" spans="2:19" ht="12" customHeight="1" x14ac:dyDescent="0.25">
      <c r="B13" s="66"/>
      <c r="C13" s="67"/>
      <c r="D13" s="67"/>
      <c r="E13" s="67"/>
      <c r="F13" s="67"/>
      <c r="G13" s="67"/>
      <c r="H13" s="67"/>
      <c r="I13" s="67"/>
      <c r="J13" s="67"/>
      <c r="K13" s="70"/>
    </row>
    <row r="14" spans="2:19" ht="15" customHeight="1" x14ac:dyDescent="0.25">
      <c r="B14" s="187" t="s">
        <v>94</v>
      </c>
      <c r="C14" s="187"/>
      <c r="D14" s="187"/>
      <c r="E14" s="187"/>
      <c r="F14" s="73" t="s">
        <v>89</v>
      </c>
      <c r="G14" s="67"/>
      <c r="H14" s="67"/>
      <c r="I14" s="67"/>
      <c r="J14" s="67"/>
      <c r="K14" s="70"/>
    </row>
    <row r="15" spans="2:19" ht="15" customHeight="1" x14ac:dyDescent="0.25">
      <c r="B15" s="187" t="s">
        <v>95</v>
      </c>
      <c r="C15" s="187"/>
      <c r="D15" s="187"/>
      <c r="E15" s="187"/>
      <c r="F15" s="73" t="s">
        <v>89</v>
      </c>
      <c r="G15" s="67"/>
      <c r="H15" s="67"/>
      <c r="I15" s="67"/>
      <c r="J15" s="67"/>
      <c r="K15" s="70"/>
    </row>
    <row r="16" spans="2:19" ht="15" customHeight="1" x14ac:dyDescent="0.25">
      <c r="B16" s="187" t="s">
        <v>96</v>
      </c>
      <c r="C16" s="187"/>
      <c r="D16" s="187"/>
      <c r="E16" s="187"/>
      <c r="F16" s="73" t="s">
        <v>89</v>
      </c>
      <c r="G16" s="67"/>
      <c r="H16" s="67"/>
      <c r="I16" s="67"/>
      <c r="J16" s="67"/>
      <c r="K16" s="70"/>
    </row>
    <row r="17" spans="2:11" ht="12" customHeight="1" x14ac:dyDescent="0.25">
      <c r="B17" s="66"/>
      <c r="C17" s="67"/>
      <c r="D17" s="67"/>
      <c r="E17" s="67"/>
      <c r="F17" s="67"/>
      <c r="G17" s="67"/>
      <c r="H17" s="67"/>
      <c r="I17" s="67"/>
      <c r="J17" s="67"/>
      <c r="K17" s="70"/>
    </row>
    <row r="18" spans="2:11" ht="15" customHeight="1" x14ac:dyDescent="0.25">
      <c r="B18" s="182" t="s">
        <v>97</v>
      </c>
      <c r="C18" s="182"/>
      <c r="D18" s="182"/>
      <c r="E18" s="182"/>
      <c r="F18" s="182"/>
      <c r="G18" s="188" t="s">
        <v>89</v>
      </c>
      <c r="H18" s="188"/>
      <c r="I18" s="67"/>
      <c r="J18" s="67"/>
      <c r="K18" s="70"/>
    </row>
    <row r="19" spans="2:11" ht="15" customHeight="1" x14ac:dyDescent="0.25">
      <c r="B19" s="165" t="s">
        <v>98</v>
      </c>
      <c r="C19" s="165"/>
      <c r="D19" s="165"/>
      <c r="E19" s="165"/>
      <c r="F19" s="165"/>
      <c r="G19" s="166" t="s">
        <v>81</v>
      </c>
      <c r="H19" s="167"/>
      <c r="I19" s="167"/>
      <c r="J19" s="167"/>
      <c r="K19" s="168"/>
    </row>
    <row r="20" spans="2:11" ht="15" customHeight="1" x14ac:dyDescent="0.25">
      <c r="B20" s="165" t="s">
        <v>99</v>
      </c>
      <c r="C20" s="165"/>
      <c r="D20" s="165"/>
      <c r="E20" s="165"/>
      <c r="F20" s="165"/>
      <c r="G20" s="189" t="s">
        <v>89</v>
      </c>
      <c r="H20" s="189"/>
      <c r="I20" s="67"/>
      <c r="J20" s="67"/>
      <c r="K20" s="70"/>
    </row>
    <row r="21" spans="2:11" ht="15" customHeight="1" x14ac:dyDescent="0.25">
      <c r="B21" s="165" t="s">
        <v>100</v>
      </c>
      <c r="C21" s="165"/>
      <c r="D21" s="165"/>
      <c r="E21" s="165"/>
      <c r="F21" s="165"/>
      <c r="G21" s="190" t="s">
        <v>89</v>
      </c>
      <c r="H21" s="190"/>
      <c r="I21" s="67"/>
      <c r="J21" s="67"/>
      <c r="K21" s="70"/>
    </row>
    <row r="22" spans="2:11" ht="15" customHeight="1" x14ac:dyDescent="0.25">
      <c r="B22" s="75" t="s">
        <v>101</v>
      </c>
      <c r="C22" s="75"/>
      <c r="D22" s="75"/>
      <c r="E22" s="76"/>
      <c r="F22" s="76"/>
      <c r="G22" s="188" t="s">
        <v>89</v>
      </c>
      <c r="H22" s="188"/>
      <c r="I22" s="67"/>
      <c r="J22" s="67"/>
      <c r="K22" s="70"/>
    </row>
    <row r="23" spans="2:11" ht="15" customHeight="1" x14ac:dyDescent="0.25">
      <c r="B23" s="165" t="s">
        <v>102</v>
      </c>
      <c r="C23" s="165"/>
      <c r="D23" s="165"/>
      <c r="E23" s="165"/>
      <c r="F23" s="165"/>
      <c r="G23" s="184" t="s">
        <v>81</v>
      </c>
      <c r="H23" s="185"/>
      <c r="I23" s="185"/>
      <c r="J23" s="185"/>
      <c r="K23" s="186"/>
    </row>
    <row r="24" spans="2:11" ht="15" customHeight="1" x14ac:dyDescent="0.25">
      <c r="B24" s="165" t="s">
        <v>103</v>
      </c>
      <c r="C24" s="165"/>
      <c r="D24" s="165"/>
      <c r="E24" s="165"/>
      <c r="F24" s="165"/>
      <c r="G24" s="191" t="s">
        <v>89</v>
      </c>
      <c r="H24" s="191"/>
      <c r="I24" s="77"/>
      <c r="J24" s="67"/>
      <c r="K24" s="70"/>
    </row>
    <row r="25" spans="2:11" ht="15" customHeight="1" x14ac:dyDescent="0.25">
      <c r="B25" s="165" t="s">
        <v>104</v>
      </c>
      <c r="C25" s="165"/>
      <c r="D25" s="165"/>
      <c r="E25" s="165"/>
      <c r="F25" s="165"/>
      <c r="G25" s="192" t="s">
        <v>89</v>
      </c>
      <c r="H25" s="192"/>
      <c r="I25" s="67"/>
      <c r="J25" s="67"/>
      <c r="K25" s="70"/>
    </row>
    <row r="26" spans="2:11" ht="12" customHeight="1" x14ac:dyDescent="0.25">
      <c r="B26" s="66"/>
      <c r="C26" s="67"/>
      <c r="D26" s="67"/>
      <c r="E26" s="67"/>
      <c r="F26" s="67"/>
      <c r="G26" s="67"/>
      <c r="H26" s="67"/>
      <c r="I26" s="67"/>
      <c r="J26" s="67"/>
      <c r="K26" s="70"/>
    </row>
    <row r="27" spans="2:11" ht="15" customHeight="1" x14ac:dyDescent="0.25">
      <c r="B27" s="193" t="s">
        <v>105</v>
      </c>
      <c r="C27" s="194"/>
      <c r="D27" s="195" t="s">
        <v>89</v>
      </c>
      <c r="E27" s="196"/>
      <c r="F27" s="196"/>
      <c r="G27" s="166" t="s">
        <v>81</v>
      </c>
      <c r="H27" s="168"/>
      <c r="I27" s="67"/>
      <c r="J27" s="67"/>
      <c r="K27" s="70"/>
    </row>
    <row r="28" spans="2:11" ht="15" customHeight="1" x14ac:dyDescent="0.25">
      <c r="B28" s="197" t="s">
        <v>106</v>
      </c>
      <c r="C28" s="197"/>
      <c r="D28" s="197"/>
      <c r="E28" s="197"/>
      <c r="F28" s="181" t="s">
        <v>81</v>
      </c>
      <c r="G28" s="181"/>
      <c r="H28" s="181"/>
      <c r="I28" s="67"/>
      <c r="J28" s="67"/>
      <c r="K28" s="70"/>
    </row>
    <row r="29" spans="2:11" ht="15" customHeight="1" x14ac:dyDescent="0.25">
      <c r="B29" s="165" t="s">
        <v>107</v>
      </c>
      <c r="C29" s="165"/>
      <c r="D29" s="165"/>
      <c r="E29" s="165"/>
      <c r="F29" s="181" t="s">
        <v>81</v>
      </c>
      <c r="G29" s="181"/>
      <c r="H29" s="181"/>
      <c r="I29" s="67"/>
      <c r="J29" s="67"/>
      <c r="K29" s="70"/>
    </row>
    <row r="30" spans="2:11" ht="15" customHeight="1" x14ac:dyDescent="0.25">
      <c r="B30" s="165" t="s">
        <v>108</v>
      </c>
      <c r="C30" s="165"/>
      <c r="D30" s="165"/>
      <c r="E30" s="165"/>
      <c r="F30" s="181" t="s">
        <v>81</v>
      </c>
      <c r="G30" s="181"/>
      <c r="H30" s="198"/>
      <c r="I30" s="67"/>
      <c r="J30" s="67"/>
      <c r="K30" s="70"/>
    </row>
    <row r="31" spans="2:11" ht="15" customHeight="1" x14ac:dyDescent="0.25">
      <c r="B31" s="58" t="s">
        <v>109</v>
      </c>
      <c r="C31" s="78" t="s">
        <v>81</v>
      </c>
      <c r="D31" s="79"/>
      <c r="E31" s="58" t="s">
        <v>110</v>
      </c>
      <c r="F31" s="78" t="s">
        <v>81</v>
      </c>
      <c r="G31" s="67"/>
      <c r="H31" s="58" t="s">
        <v>111</v>
      </c>
      <c r="I31" s="166" t="s">
        <v>81</v>
      </c>
      <c r="J31" s="167"/>
      <c r="K31" s="168"/>
    </row>
    <row r="32" spans="2:11" ht="12" customHeight="1" x14ac:dyDescent="0.25">
      <c r="B32" s="66"/>
      <c r="C32" s="67"/>
      <c r="D32" s="67"/>
      <c r="E32" s="67"/>
      <c r="F32" s="67"/>
      <c r="G32" s="67"/>
      <c r="H32" s="67"/>
      <c r="I32" s="67"/>
      <c r="J32" s="67"/>
      <c r="K32" s="70"/>
    </row>
    <row r="33" spans="2:99" ht="15" customHeight="1" x14ac:dyDescent="0.25">
      <c r="B33" s="165" t="s">
        <v>112</v>
      </c>
      <c r="C33" s="165"/>
      <c r="D33" s="165"/>
      <c r="E33" s="165"/>
      <c r="F33" s="181" t="s">
        <v>81</v>
      </c>
      <c r="G33" s="181"/>
      <c r="H33" s="181"/>
      <c r="I33" s="67"/>
      <c r="J33" s="67"/>
      <c r="K33" s="70"/>
    </row>
    <row r="34" spans="2:99" ht="15" customHeight="1" x14ac:dyDescent="0.25">
      <c r="B34" s="58" t="s">
        <v>113</v>
      </c>
      <c r="C34" s="81" t="s">
        <v>81</v>
      </c>
      <c r="D34" s="67"/>
      <c r="E34" s="58" t="s">
        <v>114</v>
      </c>
      <c r="F34" s="81" t="s">
        <v>81</v>
      </c>
      <c r="G34" s="67"/>
      <c r="H34" s="67"/>
      <c r="I34" s="67"/>
      <c r="J34" s="67"/>
      <c r="K34" s="70"/>
    </row>
    <row r="35" spans="2:99" ht="9.9499999999999993" customHeight="1" x14ac:dyDescent="0.25">
      <c r="B35" s="82"/>
      <c r="C35" s="67"/>
      <c r="D35" s="67"/>
      <c r="E35" s="79"/>
      <c r="F35" s="67"/>
      <c r="G35" s="67"/>
      <c r="H35" s="67"/>
      <c r="I35" s="67"/>
      <c r="J35" s="67"/>
      <c r="K35" s="70"/>
    </row>
    <row r="36" spans="2:99" ht="15" customHeight="1" x14ac:dyDescent="0.25">
      <c r="B36" s="165" t="s">
        <v>115</v>
      </c>
      <c r="C36" s="165"/>
      <c r="D36" s="190" t="s">
        <v>89</v>
      </c>
      <c r="E36" s="190"/>
      <c r="F36" s="190"/>
      <c r="G36" s="67"/>
      <c r="H36" s="67"/>
      <c r="I36" s="67"/>
      <c r="J36" s="67"/>
      <c r="K36" s="70"/>
    </row>
    <row r="37" spans="2:99" ht="9.9499999999999993" customHeight="1" x14ac:dyDescent="0.25">
      <c r="B37" s="66"/>
      <c r="C37" s="67"/>
      <c r="D37" s="67"/>
      <c r="E37" s="67"/>
      <c r="F37" s="67"/>
      <c r="G37" s="67"/>
      <c r="H37" s="67"/>
      <c r="I37" s="67"/>
      <c r="J37" s="67"/>
      <c r="K37" s="70"/>
    </row>
    <row r="38" spans="2:99" ht="15" customHeight="1" x14ac:dyDescent="0.25">
      <c r="B38" s="182" t="s">
        <v>116</v>
      </c>
      <c r="C38" s="182"/>
      <c r="D38" s="182"/>
      <c r="E38" s="67"/>
      <c r="F38" s="67"/>
      <c r="G38" s="67"/>
      <c r="H38" s="67"/>
      <c r="I38" s="67"/>
      <c r="J38" s="67"/>
      <c r="K38" s="70"/>
    </row>
    <row r="39" spans="2:99" ht="30" customHeight="1" x14ac:dyDescent="0.25">
      <c r="B39" s="201"/>
      <c r="C39" s="202"/>
      <c r="D39" s="202"/>
      <c r="E39" s="202"/>
      <c r="F39" s="202"/>
      <c r="G39" s="202"/>
      <c r="H39" s="202"/>
      <c r="I39" s="202"/>
      <c r="J39" s="202"/>
      <c r="K39" s="203"/>
    </row>
    <row r="40" spans="2:99" ht="12" customHeight="1" x14ac:dyDescent="0.25">
      <c r="B40" s="83"/>
      <c r="C40" s="84"/>
      <c r="D40" s="84"/>
      <c r="E40" s="84"/>
      <c r="F40" s="84"/>
      <c r="G40" s="84"/>
      <c r="H40" s="84"/>
      <c r="I40" s="84"/>
      <c r="J40" s="67"/>
      <c r="K40" s="70"/>
    </row>
    <row r="41" spans="2:99" s="86" customFormat="1" ht="30" customHeight="1" x14ac:dyDescent="0.2">
      <c r="B41" s="204" t="s">
        <v>117</v>
      </c>
      <c r="C41" s="205"/>
      <c r="D41" s="205"/>
      <c r="E41" s="205"/>
      <c r="F41" s="205"/>
      <c r="G41" s="205"/>
      <c r="H41" s="205"/>
      <c r="I41" s="205"/>
      <c r="J41" s="205"/>
      <c r="K41" s="206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85"/>
      <c r="BR41" s="85"/>
      <c r="BS41" s="85"/>
      <c r="BT41" s="85"/>
      <c r="BU41" s="85"/>
      <c r="BV41" s="85"/>
      <c r="BW41" s="85"/>
      <c r="BX41" s="85"/>
      <c r="BY41" s="85"/>
      <c r="BZ41" s="85"/>
      <c r="CA41" s="85"/>
      <c r="CB41" s="85"/>
      <c r="CC41" s="85"/>
      <c r="CD41" s="85"/>
      <c r="CE41" s="85"/>
      <c r="CF41" s="85"/>
      <c r="CG41" s="85"/>
      <c r="CH41" s="85"/>
      <c r="CI41" s="85"/>
      <c r="CJ41" s="85"/>
      <c r="CK41" s="85"/>
      <c r="CL41" s="85"/>
      <c r="CM41" s="85"/>
      <c r="CN41" s="85"/>
      <c r="CO41" s="85"/>
      <c r="CP41" s="85"/>
      <c r="CQ41" s="85"/>
      <c r="CR41" s="85"/>
      <c r="CS41" s="85"/>
      <c r="CT41" s="85"/>
      <c r="CU41" s="85"/>
    </row>
    <row r="42" spans="2:99" ht="15" customHeight="1" x14ac:dyDescent="0.25">
      <c r="B42" s="207"/>
      <c r="C42" s="207"/>
      <c r="D42" s="207"/>
      <c r="E42" s="207"/>
      <c r="F42" s="207"/>
      <c r="G42" s="207"/>
      <c r="H42" s="207"/>
      <c r="I42" s="207"/>
      <c r="J42" s="207"/>
      <c r="K42" s="207"/>
    </row>
    <row r="43" spans="2:99" ht="12" customHeight="1" x14ac:dyDescent="0.25">
      <c r="B43" s="207"/>
      <c r="C43" s="207"/>
      <c r="D43" s="207"/>
      <c r="E43" s="207"/>
      <c r="F43" s="207"/>
      <c r="G43" s="207"/>
      <c r="H43" s="207"/>
      <c r="I43" s="207"/>
      <c r="J43" s="207"/>
      <c r="K43" s="207"/>
    </row>
    <row r="44" spans="2:99" ht="15" customHeight="1" x14ac:dyDescent="0.25">
      <c r="B44" s="82" t="s">
        <v>118</v>
      </c>
      <c r="C44" s="67"/>
      <c r="D44" s="67"/>
      <c r="E44" s="67"/>
      <c r="F44" s="67"/>
      <c r="G44" s="67"/>
      <c r="H44" s="67"/>
      <c r="I44" s="67"/>
      <c r="J44" s="67"/>
      <c r="K44" s="70"/>
    </row>
    <row r="45" spans="2:99" ht="15" customHeight="1" x14ac:dyDescent="0.25">
      <c r="B45" s="165" t="s">
        <v>119</v>
      </c>
      <c r="C45" s="165"/>
      <c r="D45" s="165"/>
      <c r="E45" s="165"/>
      <c r="F45" s="73" t="s">
        <v>89</v>
      </c>
      <c r="G45" s="67"/>
      <c r="H45" s="67"/>
      <c r="I45" s="67"/>
      <c r="J45" s="67"/>
      <c r="K45" s="70"/>
    </row>
    <row r="46" spans="2:99" ht="15" customHeight="1" x14ac:dyDescent="0.25">
      <c r="B46" s="165" t="s">
        <v>120</v>
      </c>
      <c r="C46" s="165"/>
      <c r="D46" s="165"/>
      <c r="E46" s="165"/>
      <c r="F46" s="73" t="s">
        <v>89</v>
      </c>
      <c r="G46" s="67"/>
      <c r="H46" s="67"/>
      <c r="I46" s="67"/>
      <c r="J46" s="67"/>
      <c r="K46" s="70"/>
    </row>
    <row r="47" spans="2:99" ht="12" customHeight="1" x14ac:dyDescent="0.25">
      <c r="B47" s="66"/>
      <c r="C47" s="67"/>
      <c r="D47" s="67"/>
      <c r="E47" s="67"/>
      <c r="F47" s="67"/>
      <c r="G47" s="67"/>
      <c r="H47" s="67"/>
      <c r="I47" s="67"/>
      <c r="J47" s="67"/>
      <c r="K47" s="70"/>
    </row>
    <row r="48" spans="2:99" ht="15" customHeight="1" x14ac:dyDescent="0.25">
      <c r="B48" s="199" t="s">
        <v>121</v>
      </c>
      <c r="C48" s="200"/>
      <c r="D48" s="67"/>
      <c r="E48" s="67"/>
      <c r="F48" s="67"/>
      <c r="G48" s="67"/>
      <c r="H48" s="67"/>
      <c r="I48" s="67"/>
      <c r="J48" s="67"/>
      <c r="K48" s="70"/>
    </row>
    <row r="49" spans="2:11" ht="15" customHeight="1" x14ac:dyDescent="0.25">
      <c r="B49" s="199" t="s">
        <v>119</v>
      </c>
      <c r="C49" s="200"/>
      <c r="D49" s="200"/>
      <c r="E49" s="200"/>
      <c r="F49" s="208" t="s">
        <v>122</v>
      </c>
      <c r="G49" s="208"/>
      <c r="H49" s="208"/>
      <c r="I49" s="208"/>
      <c r="J49" s="67"/>
      <c r="K49" s="70"/>
    </row>
    <row r="50" spans="2:11" ht="15" customHeight="1" x14ac:dyDescent="0.25">
      <c r="B50" s="199" t="s">
        <v>120</v>
      </c>
      <c r="C50" s="200"/>
      <c r="D50" s="200"/>
      <c r="E50" s="200"/>
      <c r="F50" s="208" t="s">
        <v>123</v>
      </c>
      <c r="G50" s="208"/>
      <c r="H50" s="208"/>
      <c r="I50" s="208"/>
      <c r="J50" s="67"/>
      <c r="K50" s="70"/>
    </row>
    <row r="51" spans="2:11" ht="9" customHeight="1" x14ac:dyDescent="0.25">
      <c r="B51" s="66"/>
      <c r="C51" s="67"/>
      <c r="D51" s="67"/>
      <c r="E51" s="67"/>
      <c r="F51" s="67"/>
      <c r="G51" s="67"/>
      <c r="H51" s="67"/>
      <c r="I51" s="67"/>
      <c r="J51" s="67"/>
      <c r="K51" s="70"/>
    </row>
    <row r="52" spans="2:11" ht="25.5" customHeight="1" x14ac:dyDescent="0.25">
      <c r="B52" s="87" t="s">
        <v>80</v>
      </c>
      <c r="C52" s="88"/>
      <c r="D52" s="209" t="s">
        <v>124</v>
      </c>
      <c r="E52" s="209"/>
      <c r="F52" s="88"/>
      <c r="G52" s="209" t="s">
        <v>125</v>
      </c>
      <c r="H52" s="209"/>
      <c r="I52" s="88"/>
      <c r="J52" s="89"/>
      <c r="K52" s="90"/>
    </row>
    <row r="53" spans="2:11" ht="15" customHeight="1" x14ac:dyDescent="0.25"/>
  </sheetData>
  <sheetProtection algorithmName="SHA-512" hashValue="9TfmQjMyTXmwdsahtk74hMxM8EiHhrUeZHflra/1KnlHu74oMYOsflToLhhGv/GmCsu/GygByAUI05W1/BvOdw==" saltValue="lzOYtdQjZD+CZKLZHuP+Ow==" spinCount="100000" sheet="1" objects="1" scenarios="1" selectLockedCells="1"/>
  <mergeCells count="58">
    <mergeCell ref="B49:E49"/>
    <mergeCell ref="F49:I49"/>
    <mergeCell ref="B50:E50"/>
    <mergeCell ref="F50:I50"/>
    <mergeCell ref="D52:E52"/>
    <mergeCell ref="G52:H52"/>
    <mergeCell ref="B48:C48"/>
    <mergeCell ref="I31:K31"/>
    <mergeCell ref="B33:E33"/>
    <mergeCell ref="F33:H33"/>
    <mergeCell ref="B36:C36"/>
    <mergeCell ref="D36:F36"/>
    <mergeCell ref="B38:D38"/>
    <mergeCell ref="B39:K39"/>
    <mergeCell ref="B41:K41"/>
    <mergeCell ref="B42:K43"/>
    <mergeCell ref="B45:E45"/>
    <mergeCell ref="B46:E46"/>
    <mergeCell ref="B28:E28"/>
    <mergeCell ref="F28:H28"/>
    <mergeCell ref="B29:E29"/>
    <mergeCell ref="F29:H29"/>
    <mergeCell ref="B30:E30"/>
    <mergeCell ref="F30:H30"/>
    <mergeCell ref="B24:F24"/>
    <mergeCell ref="G24:H24"/>
    <mergeCell ref="B25:F25"/>
    <mergeCell ref="G25:H25"/>
    <mergeCell ref="B27:C27"/>
    <mergeCell ref="D27:F27"/>
    <mergeCell ref="G27:H27"/>
    <mergeCell ref="B23:F23"/>
    <mergeCell ref="G23:K23"/>
    <mergeCell ref="B14:E14"/>
    <mergeCell ref="B15:E15"/>
    <mergeCell ref="B16:E16"/>
    <mergeCell ref="B18:F18"/>
    <mergeCell ref="G18:H18"/>
    <mergeCell ref="B19:F19"/>
    <mergeCell ref="G19:K19"/>
    <mergeCell ref="B20:F20"/>
    <mergeCell ref="G20:H20"/>
    <mergeCell ref="B21:F21"/>
    <mergeCell ref="G21:H21"/>
    <mergeCell ref="G22:H22"/>
    <mergeCell ref="B12:D12"/>
    <mergeCell ref="E12:K12"/>
    <mergeCell ref="C1:H1"/>
    <mergeCell ref="I1:K1"/>
    <mergeCell ref="B2:K2"/>
    <mergeCell ref="B3:K3"/>
    <mergeCell ref="B4:K4"/>
    <mergeCell ref="I5:K5"/>
    <mergeCell ref="E8:F8"/>
    <mergeCell ref="E10:G10"/>
    <mergeCell ref="B11:D11"/>
    <mergeCell ref="F11:G11"/>
    <mergeCell ref="H11:I11"/>
  </mergeCells>
  <conditionalFormatting sqref="B39 G18 C5:C6 F5:F6 C8 I5:I6 K6">
    <cfRule type="expression" dxfId="16" priority="17">
      <formula>$C$1="Maßfehler"</formula>
    </cfRule>
  </conditionalFormatting>
  <conditionalFormatting sqref="G19:G22 G18:H18">
    <cfRule type="expression" dxfId="15" priority="16">
      <formula>$G$18="Ja"</formula>
    </cfRule>
  </conditionalFormatting>
  <conditionalFormatting sqref="G23:G25">
    <cfRule type="expression" dxfId="14" priority="15">
      <formula>$G$18="Nein"</formula>
    </cfRule>
  </conditionalFormatting>
  <conditionalFormatting sqref="E8:F8">
    <cfRule type="expression" dxfId="13" priority="14">
      <formula>$C$8="Sonstiges"</formula>
    </cfRule>
  </conditionalFormatting>
  <conditionalFormatting sqref="I5:I6 C5:C6 F5:F6 B39 K6">
    <cfRule type="expression" dxfId="12" priority="13">
      <formula>$C$1="Allgemeiner Fehler"</formula>
    </cfRule>
  </conditionalFormatting>
  <conditionalFormatting sqref="C5:C6 F5:F6 I5:I6 B39 K6">
    <cfRule type="expression" dxfId="11" priority="12">
      <formula>$C$1="Konstruktion"</formula>
    </cfRule>
  </conditionalFormatting>
  <conditionalFormatting sqref="C8 I5:I6 C5:C6 F5:F6 D36 B39 K6">
    <cfRule type="expression" dxfId="10" priority="11">
      <formula>$C$1="Material"</formula>
    </cfRule>
  </conditionalFormatting>
  <conditionalFormatting sqref="C5:C6 C8 F5:F6 B39 I5:I6 G18:H18 K6">
    <cfRule type="expression" dxfId="9" priority="10">
      <formula>$C$1="Toleranzfehler"</formula>
    </cfRule>
  </conditionalFormatting>
  <conditionalFormatting sqref="E11">
    <cfRule type="expression" dxfId="8" priority="9">
      <formula>$C$10="AVPROG"</formula>
    </cfRule>
  </conditionalFormatting>
  <conditionalFormatting sqref="E12">
    <cfRule type="expression" dxfId="7" priority="8">
      <formula>$E$11="Nein"</formula>
    </cfRule>
  </conditionalFormatting>
  <conditionalFormatting sqref="C10 F5:F6 H10 C5:C6 I5:I6 B39 K6">
    <cfRule type="expression" dxfId="6" priority="7">
      <formula>$C$1="Programmierfehler"</formula>
    </cfRule>
  </conditionalFormatting>
  <conditionalFormatting sqref="F28:H30 C31 F31 I31 G27">
    <cfRule type="expression" dxfId="5" priority="6">
      <formula>$H$10="Werkzeug"</formula>
    </cfRule>
  </conditionalFormatting>
  <conditionalFormatting sqref="F28:H30 F31 I31 C31 G27">
    <cfRule type="expression" dxfId="4" priority="5">
      <formula>$H$10="Schnittwerte"</formula>
    </cfRule>
  </conditionalFormatting>
  <conditionalFormatting sqref="C34 F34">
    <cfRule type="expression" dxfId="3" priority="4">
      <formula>$H$10="Position"</formula>
    </cfRule>
  </conditionalFormatting>
  <conditionalFormatting sqref="C5:C6 F5:F6 I5:I6 C8 F14:F16 B39 K6">
    <cfRule type="expression" dxfId="2" priority="3">
      <formula>$C$1="Spannfehler"</formula>
    </cfRule>
  </conditionalFormatting>
  <conditionalFormatting sqref="G27:H27">
    <cfRule type="expression" dxfId="1" priority="2">
      <formula>$D$27="Werkzeug falsch eingestellt durch"</formula>
    </cfRule>
  </conditionalFormatting>
  <conditionalFormatting sqref="C5:C6 F5:F6 I5:I6 D27:F27 F28:H30 C31 F31 I31 B39 K6">
    <cfRule type="expression" dxfId="0" priority="1">
      <formula>$C$1="Werkzeug"</formula>
    </cfRule>
  </conditionalFormatting>
  <dataValidations count="11">
    <dataValidation type="list" allowBlank="1" showInputMessage="1" showErrorMessage="1" sqref="F45 G20:G21 E22 G18 G22:H22 G24:G25 E11 F14 F16">
      <formula1>e</formula1>
    </dataValidation>
    <dataValidation type="list" allowBlank="1" showInputMessage="1" showErrorMessage="1" sqref="F46">
      <formula1>g</formula1>
    </dataValidation>
    <dataValidation type="list" allowBlank="1" showInputMessage="1" showErrorMessage="1" sqref="D8">
      <formula1>Werkstoff</formula1>
    </dataValidation>
    <dataValidation type="list" allowBlank="1" showInputMessage="1" showErrorMessage="1" sqref="C1:H1">
      <formula1>Kategorie</formula1>
    </dataValidation>
    <dataValidation type="list" allowBlank="1" showInputMessage="1" showErrorMessage="1" sqref="C10">
      <formula1>avprog</formula1>
    </dataValidation>
    <dataValidation type="list" allowBlank="1" showInputMessage="1" showErrorMessage="1" sqref="H10">
      <formula1>d</formula1>
    </dataValidation>
    <dataValidation type="list" allowBlank="1" showInputMessage="1" showErrorMessage="1" sqref="F15">
      <formula1>f</formula1>
    </dataValidation>
    <dataValidation type="list" allowBlank="1" showInputMessage="1" showErrorMessage="1" sqref="C8">
      <formula1>b</formula1>
    </dataValidation>
    <dataValidation type="list" allowBlank="1" showInputMessage="1" showErrorMessage="1" sqref="D36">
      <formula1>Material</formula1>
    </dataValidation>
    <dataValidation type="list" allowBlank="1" showInputMessage="1" showErrorMessage="1" sqref="D27">
      <formula1>Werkzeug</formula1>
    </dataValidation>
    <dataValidation type="list" allowBlank="1" showInputMessage="1" showErrorMessage="1" sqref="G27:H27">
      <formula1>TMMT</formula1>
    </dataValidation>
  </dataValidations>
  <pageMargins left="0.25" right="0.25" top="0.75" bottom="0.75" header="0.3" footer="0.3"/>
  <pageSetup paperSize="9" scale="95" orientation="portrait" r:id="rId1"/>
  <headerFooter>
    <oddHeader>&amp;R&amp;G</oddHeader>
    <oddFooter>&amp;R&amp;D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7"/>
  <sheetViews>
    <sheetView workbookViewId="0">
      <selection activeCell="A33" sqref="A33"/>
    </sheetView>
  </sheetViews>
  <sheetFormatPr baseColWidth="10" defaultColWidth="11.42578125" defaultRowHeight="15" x14ac:dyDescent="0.25"/>
  <cols>
    <col min="1" max="1" width="39.7109375" style="92" bestFit="1" customWidth="1"/>
    <col min="2" max="2" width="12.5703125" style="92" bestFit="1" customWidth="1"/>
    <col min="3" max="3" width="12.28515625" style="92" bestFit="1" customWidth="1"/>
    <col min="4" max="4" width="12.42578125" style="92" bestFit="1" customWidth="1"/>
    <col min="5" max="5" width="11.42578125" style="92"/>
    <col min="6" max="6" width="13.5703125" style="92" bestFit="1" customWidth="1"/>
    <col min="7" max="7" width="11.42578125" style="92"/>
    <col min="8" max="8" width="29.28515625" style="92" bestFit="1" customWidth="1"/>
    <col min="9" max="9" width="31.28515625" style="92" bestFit="1" customWidth="1"/>
    <col min="10" max="16384" width="11.42578125" style="92"/>
  </cols>
  <sheetData>
    <row r="1" spans="1:14" x14ac:dyDescent="0.25">
      <c r="A1" s="91" t="s">
        <v>126</v>
      </c>
      <c r="B1" s="91" t="s">
        <v>127</v>
      </c>
      <c r="C1" s="91" t="s">
        <v>127</v>
      </c>
      <c r="D1" s="91" t="s">
        <v>127</v>
      </c>
      <c r="E1" s="91" t="s">
        <v>127</v>
      </c>
      <c r="F1" s="91" t="s">
        <v>127</v>
      </c>
      <c r="G1" s="91" t="s">
        <v>127</v>
      </c>
      <c r="H1" s="91" t="s">
        <v>127</v>
      </c>
      <c r="I1" s="91" t="s">
        <v>127</v>
      </c>
      <c r="J1" s="91" t="s">
        <v>128</v>
      </c>
      <c r="K1" s="91"/>
      <c r="L1" s="91"/>
      <c r="M1" s="91"/>
      <c r="N1" s="91"/>
    </row>
    <row r="2" spans="1:14" x14ac:dyDescent="0.25">
      <c r="A2" s="91" t="s">
        <v>78</v>
      </c>
      <c r="B2" s="91" t="s">
        <v>129</v>
      </c>
      <c r="C2" s="91" t="s">
        <v>18</v>
      </c>
      <c r="D2" s="91" t="s">
        <v>130</v>
      </c>
      <c r="E2" s="91" t="s">
        <v>131</v>
      </c>
      <c r="F2" s="91" t="s">
        <v>132</v>
      </c>
      <c r="G2" s="91" t="s">
        <v>131</v>
      </c>
      <c r="H2" s="91" t="s">
        <v>133</v>
      </c>
      <c r="I2" s="91" t="s">
        <v>134</v>
      </c>
      <c r="J2" s="91" t="s">
        <v>135</v>
      </c>
      <c r="K2" s="91"/>
      <c r="L2" s="91"/>
      <c r="M2" s="91"/>
      <c r="N2" s="91"/>
    </row>
    <row r="3" spans="1:14" x14ac:dyDescent="0.25">
      <c r="A3" s="91" t="s">
        <v>136</v>
      </c>
      <c r="B3" s="91" t="s">
        <v>137</v>
      </c>
      <c r="C3" s="91" t="s">
        <v>138</v>
      </c>
      <c r="D3" s="91" t="s">
        <v>139</v>
      </c>
      <c r="E3" s="91" t="s">
        <v>140</v>
      </c>
      <c r="F3" s="91" t="s">
        <v>141</v>
      </c>
      <c r="G3" s="91" t="s">
        <v>140</v>
      </c>
      <c r="H3" s="91" t="s">
        <v>142</v>
      </c>
      <c r="I3" s="91" t="s">
        <v>143</v>
      </c>
      <c r="J3" s="91"/>
      <c r="K3" s="91"/>
      <c r="L3" s="91"/>
      <c r="M3" s="91"/>
      <c r="N3" s="91"/>
    </row>
    <row r="4" spans="1:14" x14ac:dyDescent="0.25">
      <c r="A4" s="91" t="s">
        <v>144</v>
      </c>
      <c r="B4" s="91" t="s">
        <v>145</v>
      </c>
      <c r="C4" s="91"/>
      <c r="D4" s="91" t="s">
        <v>146</v>
      </c>
      <c r="E4" s="91"/>
      <c r="F4" s="91" t="s">
        <v>147</v>
      </c>
      <c r="G4" s="91" t="s">
        <v>148</v>
      </c>
      <c r="H4" s="91" t="s">
        <v>149</v>
      </c>
      <c r="I4" s="91" t="s">
        <v>150</v>
      </c>
      <c r="J4" s="91"/>
      <c r="K4" s="91"/>
      <c r="L4" s="91"/>
      <c r="M4" s="91"/>
      <c r="N4" s="91"/>
    </row>
    <row r="5" spans="1:14" x14ac:dyDescent="0.25">
      <c r="A5" s="91" t="s">
        <v>151</v>
      </c>
      <c r="B5" s="91" t="s">
        <v>152</v>
      </c>
      <c r="C5" s="91"/>
      <c r="D5" s="91"/>
      <c r="E5" s="91"/>
      <c r="F5" s="91" t="s">
        <v>153</v>
      </c>
      <c r="G5" s="91"/>
      <c r="H5" s="91"/>
      <c r="I5" s="91"/>
      <c r="J5" s="91"/>
      <c r="K5" s="91"/>
      <c r="L5" s="91"/>
      <c r="M5" s="91"/>
      <c r="N5" s="91"/>
    </row>
    <row r="6" spans="1:14" x14ac:dyDescent="0.25">
      <c r="A6" s="91" t="s">
        <v>154</v>
      </c>
      <c r="B6" s="91" t="s">
        <v>155</v>
      </c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1:14" x14ac:dyDescent="0.25">
      <c r="A7" s="91" t="s">
        <v>156</v>
      </c>
      <c r="B7" s="91" t="s">
        <v>150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</row>
    <row r="8" spans="1:14" x14ac:dyDescent="0.25">
      <c r="A8" s="91" t="s">
        <v>157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</row>
    <row r="9" spans="1:14" x14ac:dyDescent="0.25">
      <c r="A9" s="91" t="s">
        <v>130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</row>
    <row r="10" spans="1:14" x14ac:dyDescent="0.25">
      <c r="A10" s="91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</row>
    <row r="11" spans="1:14" x14ac:dyDescent="0.25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</row>
    <row r="12" spans="1:14" x14ac:dyDescent="0.25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</row>
    <row r="13" spans="1:14" x14ac:dyDescent="0.25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</row>
    <row r="14" spans="1:14" x14ac:dyDescent="0.25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</row>
    <row r="15" spans="1:14" x14ac:dyDescent="0.25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</row>
    <row r="16" spans="1:14" x14ac:dyDescent="0.25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</row>
    <row r="17" spans="1:14" x14ac:dyDescent="0.25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</row>
  </sheetData>
  <sheetProtection selectLockedCells="1" selectUnlockedCells="1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0</xdr:col>
                <xdr:colOff>1000125</xdr:colOff>
                <xdr:row>11</xdr:row>
                <xdr:rowOff>152400</xdr:rowOff>
              </from>
              <to>
                <xdr:col>0</xdr:col>
                <xdr:colOff>1466850</xdr:colOff>
                <xdr:row>14</xdr:row>
                <xdr:rowOff>19050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_Tbl"/>
  <dimension ref="A1:Y2"/>
  <sheetViews>
    <sheetView topLeftCell="D1" workbookViewId="0">
      <selection activeCell="M9" sqref="M9"/>
    </sheetView>
  </sheetViews>
  <sheetFormatPr baseColWidth="10" defaultColWidth="11.42578125" defaultRowHeight="12.75" x14ac:dyDescent="0.2"/>
  <cols>
    <col min="5" max="5" width="7.140625" customWidth="1"/>
    <col min="6" max="6" width="15.28515625" bestFit="1" customWidth="1"/>
  </cols>
  <sheetData>
    <row r="1" spans="1:25" s="93" customFormat="1" x14ac:dyDescent="0.2">
      <c r="A1" s="93" t="s">
        <v>158</v>
      </c>
      <c r="B1" s="93" t="s">
        <v>159</v>
      </c>
      <c r="C1" s="93" t="s">
        <v>160</v>
      </c>
      <c r="D1" s="93" t="s">
        <v>161</v>
      </c>
      <c r="E1" s="93" t="s">
        <v>162</v>
      </c>
      <c r="F1" s="93" t="s">
        <v>163</v>
      </c>
      <c r="G1" s="93" t="s">
        <v>164</v>
      </c>
      <c r="H1" s="93" t="s">
        <v>165</v>
      </c>
      <c r="I1" s="93" t="s">
        <v>166</v>
      </c>
      <c r="J1" s="93" t="s">
        <v>167</v>
      </c>
      <c r="K1" s="93" t="s">
        <v>168</v>
      </c>
      <c r="L1" s="93" t="s">
        <v>169</v>
      </c>
      <c r="M1" s="93" t="s">
        <v>170</v>
      </c>
      <c r="N1" s="93" t="s">
        <v>171</v>
      </c>
      <c r="O1" s="93" t="s">
        <v>15</v>
      </c>
      <c r="P1" s="93" t="s">
        <v>172</v>
      </c>
      <c r="Q1" s="93" t="s">
        <v>173</v>
      </c>
      <c r="R1" s="93" t="s">
        <v>174</v>
      </c>
      <c r="S1" s="93" t="s">
        <v>18</v>
      </c>
      <c r="T1" s="93" t="s">
        <v>175</v>
      </c>
      <c r="U1" s="93" t="s">
        <v>176</v>
      </c>
      <c r="V1" s="93" t="s">
        <v>61</v>
      </c>
      <c r="W1" s="93" t="s">
        <v>177</v>
      </c>
      <c r="X1" s="93" t="s">
        <v>178</v>
      </c>
      <c r="Y1" s="93" t="s">
        <v>179</v>
      </c>
    </row>
    <row r="2" spans="1:25" x14ac:dyDescent="0.2">
      <c r="A2" s="97">
        <v>39427021</v>
      </c>
      <c r="B2" s="98" t="s">
        <v>181</v>
      </c>
      <c r="C2" s="94">
        <v>42702</v>
      </c>
      <c r="D2" s="98" t="s">
        <v>185</v>
      </c>
      <c r="E2" s="96">
        <v>2</v>
      </c>
      <c r="F2" s="95">
        <v>42702.311886574076</v>
      </c>
      <c r="G2" s="98" t="s">
        <v>180</v>
      </c>
      <c r="H2" s="97">
        <v>0</v>
      </c>
      <c r="I2" s="97">
        <v>0</v>
      </c>
      <c r="J2" s="97">
        <v>0</v>
      </c>
      <c r="K2" s="97">
        <v>0</v>
      </c>
      <c r="L2" s="97">
        <v>0</v>
      </c>
      <c r="M2" s="97">
        <v>0</v>
      </c>
      <c r="N2" s="97">
        <v>70</v>
      </c>
      <c r="O2" s="97">
        <v>50</v>
      </c>
      <c r="P2" s="97">
        <v>0</v>
      </c>
      <c r="Q2" s="97">
        <v>0</v>
      </c>
      <c r="R2" s="97">
        <v>0</v>
      </c>
      <c r="S2" s="97">
        <v>10</v>
      </c>
      <c r="T2" s="97">
        <v>0</v>
      </c>
      <c r="U2" s="97">
        <v>0</v>
      </c>
      <c r="V2" s="97">
        <v>3</v>
      </c>
      <c r="W2" s="97">
        <v>33</v>
      </c>
      <c r="X2" s="97">
        <v>90</v>
      </c>
      <c r="Y2" s="97">
        <v>108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30</vt:i4>
      </vt:variant>
    </vt:vector>
  </HeadingPairs>
  <TitlesOfParts>
    <vt:vector size="34" baseType="lpstr">
      <vt:lpstr>OEE</vt:lpstr>
      <vt:lpstr>Ausschuss</vt:lpstr>
      <vt:lpstr>Tabelle2</vt:lpstr>
      <vt:lpstr>Report</vt:lpstr>
      <vt:lpstr>Anlage</vt:lpstr>
      <vt:lpstr>Anlage_nr</vt:lpstr>
      <vt:lpstr>auftrag_zeit</vt:lpstr>
      <vt:lpstr>Ausschuß_Print_Area</vt:lpstr>
      <vt:lpstr>avprog</vt:lpstr>
      <vt:lpstr>b</vt:lpstr>
      <vt:lpstr>d</vt:lpstr>
      <vt:lpstr>OEE!Druckbereich</vt:lpstr>
      <vt:lpstr>e</vt:lpstr>
      <vt:lpstr>f</vt:lpstr>
      <vt:lpstr>g</vt:lpstr>
      <vt:lpstr>Kategorie</vt:lpstr>
      <vt:lpstr>leis_fs</vt:lpstr>
      <vt:lpstr>leis_ns</vt:lpstr>
      <vt:lpstr>leis_ss</vt:lpstr>
      <vt:lpstr>Material</vt:lpstr>
      <vt:lpstr>neueAufträge</vt:lpstr>
      <vt:lpstr>OEE_Final_Value</vt:lpstr>
      <vt:lpstr>qual_fs</vt:lpstr>
      <vt:lpstr>qual_ns</vt:lpstr>
      <vt:lpstr>qual_ss</vt:lpstr>
      <vt:lpstr>Schicht</vt:lpstr>
      <vt:lpstr>shift_cell</vt:lpstr>
      <vt:lpstr>sum_ausschuss</vt:lpstr>
      <vt:lpstr>sum_gutteile</vt:lpstr>
      <vt:lpstr>TMMT</vt:lpstr>
      <vt:lpstr>verf_fs</vt:lpstr>
      <vt:lpstr>verf_ns</vt:lpstr>
      <vt:lpstr>verf_ss</vt:lpstr>
      <vt:lpstr>Werkzeug</vt:lpstr>
    </vt:vector>
  </TitlesOfParts>
  <Company>Uhlmann Pac-Systeme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Edelmann Leonid</dc:creator>
  <cp:lastModifiedBy>Edelmann Leonid</cp:lastModifiedBy>
  <cp:lastPrinted>2016-11-28T07:30:27Z</cp:lastPrinted>
  <dcterms:created xsi:type="dcterms:W3CDTF">2016-08-10T08:01:47Z</dcterms:created>
  <dcterms:modified xsi:type="dcterms:W3CDTF">2016-11-28T07:30:50Z</dcterms:modified>
</cp:coreProperties>
</file>